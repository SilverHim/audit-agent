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7F7F7F"/>
    </font>
    <font>
      <b val="1"/>
      <color rgb="002E7D32"/>
    </font>
    <font>
      <color rgb="00C0000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7EEF7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9" customWidth="1" min="4" max="4"/>
    <col width="11" customWidth="1" min="5" max="5"/>
    <col width="10" customWidth="1" min="6" max="6"/>
    <col width="8" customWidth="1" min="7" max="7"/>
    <col width="12" customWidth="1" min="8" max="8"/>
    <col width="11" customWidth="1" min="9" max="9"/>
    <col width="14" customWidth="1" min="10" max="10"/>
    <col width="12" customWidth="1" min="11" max="11"/>
    <col width="11" customWidth="1" min="12" max="12"/>
    <col width="10" customWidth="1" min="13" max="13"/>
    <col width="9" customWidth="1" min="14" max="14"/>
    <col width="9" customWidth="1" min="15" max="15"/>
    <col width="9" customWidth="1" min="16" max="16"/>
    <col width="22" customWidth="1" min="17" max="17"/>
  </cols>
  <sheetData>
    <row r="1" ht="15" customHeight="1">
      <c r="A1" s="1" t="inlineStr">
        <is>
          <t>D-3  凭证三单匹配</t>
        </is>
      </c>
    </row>
    <row r="2" ht="15" customHeight="1">
      <c r="A2" s="2" t="inlineStr">
        <is>
          <t>客户: Demo Company (AU) Pty Ltd</t>
        </is>
      </c>
      <c r="B2" s="3" t="n"/>
      <c r="C2" s="3" t="n"/>
      <c r="D2" s="3" t="n"/>
      <c r="E2" s="3" t="n"/>
      <c r="F2" s="3" t="n"/>
      <c r="G2" s="3" t="n"/>
      <c r="H2" s="3" t="n"/>
      <c r="I2" s="4" t="n"/>
      <c r="J2" s="2" t="inlineStr">
        <is>
          <t>审计期间: 2026-07-01 至 2026-09-30    项目: ENG-2026-001</t>
        </is>
      </c>
      <c r="K2" s="3" t="n"/>
      <c r="L2" s="3" t="n"/>
      <c r="M2" s="3" t="n"/>
      <c r="N2" s="3" t="n"/>
      <c r="O2" s="3" t="n"/>
      <c r="P2" s="3" t="n"/>
      <c r="Q2" s="4" t="n"/>
    </row>
    <row r="3" ht="15" customHeight="1">
      <c r="A3" s="2" t="inlineStr">
        <is>
          <t>对应程序: REV-08 凭证三单匹配 (规则核对)</t>
        </is>
      </c>
      <c r="B3" s="3" t="n"/>
      <c r="C3" s="3" t="n"/>
      <c r="D3" s="3" t="n"/>
      <c r="E3" s="3" t="n"/>
      <c r="F3" s="3" t="n"/>
      <c r="G3" s="3" t="n"/>
      <c r="H3" s="3" t="n"/>
      <c r="I3" s="4" t="n"/>
      <c r="J3" s="2" t="inlineStr">
        <is>
          <t>索引: D-3</t>
        </is>
      </c>
      <c r="K3" s="3" t="n"/>
      <c r="L3" s="3" t="n"/>
      <c r="M3" s="3" t="n"/>
      <c r="N3" s="3" t="n"/>
      <c r="O3" s="3" t="n"/>
      <c r="P3" s="3" t="n"/>
      <c r="Q3" s="4" t="n"/>
    </row>
    <row r="4" ht="15" customHeight="1">
      <c r="A4" s="2" t="inlineStr">
        <is>
          <t>编制人: A6 实质性测试智能体    完成日期: 2026-10-20</t>
        </is>
      </c>
      <c r="B4" s="3" t="n"/>
      <c r="C4" s="3" t="n"/>
      <c r="D4" s="3" t="n"/>
      <c r="E4" s="3" t="n"/>
      <c r="F4" s="3" t="n"/>
      <c r="G4" s="3" t="n"/>
      <c r="H4" s="3" t="n"/>
      <c r="I4" s="4" t="n"/>
      <c r="J4" s="5" t="inlineStr">
        <is>
          <t>复核人: Jordan Ellis    复核日期: 待签署    复核范围: —</t>
        </is>
      </c>
      <c r="K4" s="3" t="n"/>
      <c r="L4" s="3" t="n"/>
      <c r="M4" s="3" t="n"/>
      <c r="N4" s="3" t="n"/>
      <c r="O4" s="3" t="n"/>
      <c r="P4" s="3" t="n"/>
      <c r="Q4" s="4" t="n"/>
    </row>
    <row r="6" ht="15" customHeight="1">
      <c r="A6" s="6" t="inlineStr">
        <is>
          <t>目标与风险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4" t="n"/>
    </row>
    <row r="7" ht="15" customHeight="1">
      <c r="A7" s="7" t="inlineStr">
        <is>
          <t>认定</t>
        </is>
      </c>
      <c r="B7" s="3" t="n"/>
      <c r="C7" s="4" t="n"/>
      <c r="D7" s="2" t="inlineStr">
        <is>
          <t>收入发生 (确有其事), 收入截止 (记入正确期间); 审计目标 OBJ-REV-OCC, OBJ-REV-CUT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4" t="n"/>
    </row>
    <row r="8" ht="30" customHeight="1">
      <c r="A8" s="7" t="inlineStr">
        <is>
          <t>应对的风险</t>
        </is>
      </c>
      <c r="B8" s="3" t="n"/>
      <c r="C8" s="4" t="n"/>
      <c r="D8" s="2" t="inlineStr">
        <is>
          <t>RISK-REV-CUT 特别风险 (舞弊相关): 2026-09-16 至 17 日集中开出 6 张发票, 合计 AUD 9,000 (不含 GST), 其中给 DIISR 的开发费发票 ORC1026 服务完成日接近期末。RISK-REV-OCC 特别风险: 推定的收入舞弊风险 (ASA 240)。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4" t="n"/>
    </row>
    <row r="9" ht="15" customHeight="1">
      <c r="A9" s="7" t="inlineStr">
        <is>
          <t>准则</t>
        </is>
      </c>
      <c r="B9" s="3" t="n"/>
      <c r="C9" s="4" t="n"/>
      <c r="D9" s="2" t="inlineStr">
        <is>
          <t>ASA 330 第 21 段 (特别风险须执行专门针对的实质性程序); ASA 330 第 28 段与 ASA 230 第 9 段 (记录程序, 被测项目与结果)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4" t="n"/>
    </row>
    <row r="11" ht="15" customHeight="1">
      <c r="A11" s="6" t="inlineStr">
        <is>
          <t>程序 (性质, 时间, 范围)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4" t="n"/>
    </row>
    <row r="12" ht="15" customHeight="1">
      <c r="A12" s="7" t="inlineStr">
        <is>
          <t>性质</t>
        </is>
      </c>
      <c r="B12" s="3" t="n"/>
      <c r="C12" s="4" t="n"/>
      <c r="D12" s="2" t="inlineStr">
        <is>
          <t>规则核对: 系统逐张执行下列三项检查; 有例外的发票转 D-4 收入截止性判断处理。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4" t="n"/>
    </row>
    <row r="13" ht="15" customHeight="1">
      <c r="A13" s="7" t="inlineStr">
        <is>
          <t>时间</t>
        </is>
      </c>
      <c r="B13" s="3" t="n"/>
      <c r="C13" s="4" t="n"/>
      <c r="D13" s="2" t="inlineStr">
        <is>
          <t>2026-10-20 执行; 数据截至 2026-10-17 (Xero 同步), 数据版本 9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4" t="n"/>
    </row>
    <row r="14" ht="30" customHeight="1">
      <c r="A14" s="7" t="inlineStr">
        <is>
          <t>范围</t>
        </is>
      </c>
      <c r="B14" s="3" t="n"/>
      <c r="C14" s="4" t="n"/>
      <c r="D14" s="2" t="inlineStr">
        <is>
          <t>期末前 20 天 (2026-09-10 至 2026-09-30) 入账的全部销售发票, 共 6 张, 合计 AUD 9,900.00 (含 GST); 全量, 不抽样。窗口天数按风险等级取值: 低 5 天, 中 10 天, 高 15 天, 特别 20 天。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4" t="n"/>
    </row>
    <row r="16" ht="15" customHeight="1">
      <c r="A16" s="6" t="inlineStr">
        <is>
          <t>检查项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4" t="n"/>
    </row>
    <row r="17" ht="15" customHeight="1">
      <c r="A17" s="7" t="inlineStr">
        <is>
          <t>入账期间正确</t>
        </is>
      </c>
      <c r="B17" s="3" t="n"/>
      <c r="C17" s="4" t="n"/>
      <c r="D17" s="2" t="inlineStr">
        <is>
          <t>服务完成记录的签收日不晚于期末 2026-09-30 (规则 R01)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4" t="n"/>
    </row>
    <row r="18" ht="15" customHeight="1">
      <c r="A18" s="7" t="inlineStr">
        <is>
          <t>有服务完成记录</t>
        </is>
      </c>
      <c r="B18" s="3" t="n"/>
      <c r="C18" s="4" t="n"/>
      <c r="D18" s="2" t="inlineStr">
        <is>
          <t>发票对应的服务完成记录存在, 且有签收日 (规则 R02)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4" t="n"/>
    </row>
    <row r="19" ht="15" customHeight="1">
      <c r="A19" s="7" t="inlineStr">
        <is>
          <t>收款金额相符</t>
        </is>
      </c>
      <c r="B19" s="3" t="n"/>
      <c r="C19" s="4" t="n"/>
      <c r="D19" s="2" t="inlineStr">
        <is>
          <t>按发票号在银行流水参考号中找到的收款合计等于发票金额; 尚未收款的发票本项不作判断 (规则 R03)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4" t="n"/>
    </row>
    <row r="21" ht="15" customHeight="1">
      <c r="A21" s="6" t="inlineStr">
        <is>
          <t>测试明细 (被测项目的识别特征, ASA 230 第 9(a) 段)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4" t="n"/>
    </row>
    <row r="22" ht="30" customHeight="1">
      <c r="A22" s="8" t="inlineStr">
        <is>
          <t>序号</t>
        </is>
      </c>
      <c r="B22" s="8" t="inlineStr">
        <is>
          <t>发票号</t>
        </is>
      </c>
      <c r="C22" s="8" t="inlineStr">
        <is>
          <t>客户</t>
        </is>
      </c>
      <c r="D22" s="8" t="inlineStr">
        <is>
          <t>合同</t>
        </is>
      </c>
      <c r="E22" s="8" t="inlineStr">
        <is>
          <t>入账日期</t>
        </is>
      </c>
      <c r="F22" s="8" t="inlineStr">
        <is>
          <t>金额</t>
        </is>
      </c>
      <c r="G22" s="8" t="inlineStr">
        <is>
          <t>分录</t>
        </is>
      </c>
      <c r="H22" s="8" t="inlineStr">
        <is>
          <t>服务完成记录</t>
        </is>
      </c>
      <c r="I22" s="8" t="inlineStr">
        <is>
          <t>签收日</t>
        </is>
      </c>
      <c r="J22" s="8" t="inlineStr">
        <is>
          <t>签收人</t>
        </is>
      </c>
      <c r="K22" s="8" t="inlineStr">
        <is>
          <t>收款流水</t>
        </is>
      </c>
      <c r="L22" s="8" t="inlineStr">
        <is>
          <t>收款日</t>
        </is>
      </c>
      <c r="M22" s="8" t="inlineStr">
        <is>
          <t>收款金额</t>
        </is>
      </c>
      <c r="N22" s="8" t="inlineStr">
        <is>
          <t>入账期间正确</t>
        </is>
      </c>
      <c r="O22" s="8" t="inlineStr">
        <is>
          <t>有服务完成记录</t>
        </is>
      </c>
      <c r="P22" s="8" t="inlineStr">
        <is>
          <t>收款金额相符</t>
        </is>
      </c>
      <c r="Q22" s="8" t="inlineStr">
        <is>
          <t>备注</t>
        </is>
      </c>
    </row>
    <row r="23" ht="30" customHeight="1">
      <c r="A23" s="9" t="n">
        <v>1</v>
      </c>
      <c r="B23" s="2" t="inlineStr">
        <is>
          <t>ORC1024</t>
        </is>
      </c>
      <c r="C23" s="2" t="inlineStr">
        <is>
          <t>Carruthers &amp; Smale</t>
        </is>
      </c>
      <c r="D23" s="2" t="inlineStr">
        <is>
          <t>—</t>
        </is>
      </c>
      <c r="E23" s="2" t="inlineStr">
        <is>
          <t>2026-09-16</t>
        </is>
      </c>
      <c r="F23" s="10" t="n">
        <v>550</v>
      </c>
      <c r="G23" s="2" t="inlineStr">
        <is>
          <t>XJ-561</t>
        </is>
      </c>
      <c r="H23" s="2" t="inlineStr">
        <is>
          <t>SR-ORC1024</t>
        </is>
      </c>
      <c r="I23" s="2" t="inlineStr">
        <is>
          <t>2026-08-19</t>
        </is>
      </c>
      <c r="J23" s="2" t="inlineStr">
        <is>
          <t>Ruth Carmody</t>
        </is>
      </c>
      <c r="K23" s="2" t="inlineStr">
        <is>
          <t>—</t>
        </is>
      </c>
      <c r="L23" s="2" t="inlineStr">
        <is>
          <t>—</t>
        </is>
      </c>
      <c r="M23" s="10" t="n"/>
      <c r="N23" s="11" t="inlineStr">
        <is>
          <t>✓</t>
        </is>
      </c>
      <c r="O23" s="11" t="inlineStr">
        <is>
          <t>✓</t>
        </is>
      </c>
      <c r="P23" s="12" t="inlineStr">
        <is>
          <t>—</t>
        </is>
      </c>
      <c r="Q23" s="7" t="inlineStr">
        <is>
          <t>截至 2026-10-17 尚未收款, 列为关注事项</t>
        </is>
      </c>
    </row>
    <row r="24" ht="15" customHeight="1">
      <c r="A24" s="9" t="n">
        <v>2</v>
      </c>
      <c r="B24" s="2" t="inlineStr">
        <is>
          <t>ORC1020</t>
        </is>
      </c>
      <c r="C24" s="2" t="inlineStr">
        <is>
          <t>Hamilton Smith Pty</t>
        </is>
      </c>
      <c r="D24" s="2" t="inlineStr">
        <is>
          <t>CON-X02</t>
        </is>
      </c>
      <c r="E24" s="2" t="inlineStr">
        <is>
          <t>2026-09-17</t>
        </is>
      </c>
      <c r="F24" s="10" t="n">
        <v>550</v>
      </c>
      <c r="G24" s="2" t="inlineStr">
        <is>
          <t>XJ-579</t>
        </is>
      </c>
      <c r="H24" s="2" t="inlineStr">
        <is>
          <t>SR-ORC1020</t>
        </is>
      </c>
      <c r="I24" s="2" t="inlineStr">
        <is>
          <t>2026-09-30</t>
        </is>
      </c>
      <c r="J24" s="2" t="inlineStr">
        <is>
          <t>Tom Reilly</t>
        </is>
      </c>
      <c r="K24" s="2" t="inlineStr">
        <is>
          <t>BT-090-0122</t>
        </is>
      </c>
      <c r="L24" s="2" t="inlineStr">
        <is>
          <t>2026-10-14</t>
        </is>
      </c>
      <c r="M24" s="10" t="n">
        <v>550</v>
      </c>
      <c r="N24" s="11" t="inlineStr">
        <is>
          <t>✓</t>
        </is>
      </c>
      <c r="O24" s="11" t="inlineStr">
        <is>
          <t>✓</t>
        </is>
      </c>
      <c r="P24" s="11" t="inlineStr">
        <is>
          <t>✓</t>
        </is>
      </c>
      <c r="Q24" s="2" t="inlineStr"/>
    </row>
    <row r="25" ht="15" customHeight="1">
      <c r="A25" s="9" t="n">
        <v>3</v>
      </c>
      <c r="B25" s="2" t="inlineStr">
        <is>
          <t>ORC1021</t>
        </is>
      </c>
      <c r="C25" s="2" t="inlineStr">
        <is>
          <t>Yarra Transport</t>
        </is>
      </c>
      <c r="D25" s="2" t="inlineStr">
        <is>
          <t>—</t>
        </is>
      </c>
      <c r="E25" s="2" t="inlineStr">
        <is>
          <t>2026-09-17</t>
        </is>
      </c>
      <c r="F25" s="10" t="n">
        <v>550</v>
      </c>
      <c r="G25" s="2" t="inlineStr">
        <is>
          <t>XJ-584</t>
        </is>
      </c>
      <c r="H25" s="2" t="inlineStr">
        <is>
          <t>SR-ORC1021</t>
        </is>
      </c>
      <c r="I25" s="2" t="inlineStr">
        <is>
          <t>2026-09-30</t>
        </is>
      </c>
      <c r="J25" s="2" t="inlineStr">
        <is>
          <t>Ava Chen</t>
        </is>
      </c>
      <c r="K25" s="2" t="inlineStr">
        <is>
          <t>BT-090-0081</t>
        </is>
      </c>
      <c r="L25" s="2" t="inlineStr">
        <is>
          <t>2026-10-06</t>
        </is>
      </c>
      <c r="M25" s="10" t="n">
        <v>550</v>
      </c>
      <c r="N25" s="11" t="inlineStr">
        <is>
          <t>✓</t>
        </is>
      </c>
      <c r="O25" s="11" t="inlineStr">
        <is>
          <t>✓</t>
        </is>
      </c>
      <c r="P25" s="11" t="inlineStr">
        <is>
          <t>✓</t>
        </is>
      </c>
      <c r="Q25" s="2" t="inlineStr"/>
    </row>
    <row r="26" ht="30" customHeight="1">
      <c r="A26" s="9" t="n">
        <v>4</v>
      </c>
      <c r="B26" s="2" t="inlineStr">
        <is>
          <t>ORC1022</t>
        </is>
      </c>
      <c r="C26" s="2" t="inlineStr">
        <is>
          <t>Port Phillip Freight</t>
        </is>
      </c>
      <c r="D26" s="2" t="inlineStr">
        <is>
          <t>—</t>
        </is>
      </c>
      <c r="E26" s="2" t="inlineStr">
        <is>
          <t>2026-09-17</t>
        </is>
      </c>
      <c r="F26" s="10" t="n">
        <v>550</v>
      </c>
      <c r="G26" s="2" t="inlineStr">
        <is>
          <t>XJ-586</t>
        </is>
      </c>
      <c r="H26" s="2" t="inlineStr">
        <is>
          <t>SR-ORC1022</t>
        </is>
      </c>
      <c r="I26" s="2" t="inlineStr">
        <is>
          <t>2026-09-30</t>
        </is>
      </c>
      <c r="J26" s="2" t="inlineStr">
        <is>
          <t>Daniel Kowalski</t>
        </is>
      </c>
      <c r="K26" s="2" t="inlineStr">
        <is>
          <t>BT-090-0084</t>
        </is>
      </c>
      <c r="L26" s="2" t="inlineStr">
        <is>
          <t>2026-10-06</t>
        </is>
      </c>
      <c r="M26" s="10" t="n">
        <v>550</v>
      </c>
      <c r="N26" s="11" t="inlineStr">
        <is>
          <t>✓</t>
        </is>
      </c>
      <c r="O26" s="11" t="inlineStr">
        <is>
          <t>✓</t>
        </is>
      </c>
      <c r="P26" s="11" t="inlineStr">
        <is>
          <t>✓</t>
        </is>
      </c>
      <c r="Q26" s="2" t="inlineStr"/>
    </row>
    <row r="27" ht="15" customHeight="1">
      <c r="A27" s="9" t="n">
        <v>5</v>
      </c>
      <c r="B27" s="2" t="inlineStr">
        <is>
          <t>ORC1023</t>
        </is>
      </c>
      <c r="C27" s="2" t="inlineStr">
        <is>
          <t>Rex Media Group</t>
        </is>
      </c>
      <c r="D27" s="2" t="inlineStr">
        <is>
          <t>—</t>
        </is>
      </c>
      <c r="E27" s="2" t="inlineStr">
        <is>
          <t>2026-09-17</t>
        </is>
      </c>
      <c r="F27" s="10" t="n">
        <v>550</v>
      </c>
      <c r="G27" s="2" t="inlineStr">
        <is>
          <t>XJ-581</t>
        </is>
      </c>
      <c r="H27" s="2" t="inlineStr">
        <is>
          <t>SR-ORC1023</t>
        </is>
      </c>
      <c r="I27" s="2" t="inlineStr">
        <is>
          <t>2026-09-30</t>
        </is>
      </c>
      <c r="J27" s="2" t="inlineStr">
        <is>
          <t>Isla Brennan</t>
        </is>
      </c>
      <c r="K27" s="2" t="inlineStr">
        <is>
          <t>BT-090-0080</t>
        </is>
      </c>
      <c r="L27" s="2" t="inlineStr">
        <is>
          <t>2026-10-06</t>
        </is>
      </c>
      <c r="M27" s="10" t="n">
        <v>550</v>
      </c>
      <c r="N27" s="11" t="inlineStr">
        <is>
          <t>✓</t>
        </is>
      </c>
      <c r="O27" s="11" t="inlineStr">
        <is>
          <t>✓</t>
        </is>
      </c>
      <c r="P27" s="11" t="inlineStr">
        <is>
          <t>✓</t>
        </is>
      </c>
      <c r="Q27" s="2" t="inlineStr"/>
    </row>
    <row r="28" ht="30" customHeight="1">
      <c r="A28" s="9" t="n">
        <v>6</v>
      </c>
      <c r="B28" s="2" t="inlineStr">
        <is>
          <t>ORC1026</t>
        </is>
      </c>
      <c r="C28" s="2" t="inlineStr">
        <is>
          <t>DIISR - Small Business Services</t>
        </is>
      </c>
      <c r="D28" s="2" t="inlineStr">
        <is>
          <t>CON-X01</t>
        </is>
      </c>
      <c r="E28" s="2" t="inlineStr">
        <is>
          <t>2026-09-17</t>
        </is>
      </c>
      <c r="F28" s="10" t="n">
        <v>7150</v>
      </c>
      <c r="G28" s="2" t="inlineStr">
        <is>
          <t>XJ-580</t>
        </is>
      </c>
      <c r="H28" s="2" t="inlineStr">
        <is>
          <t>SR-ORC1026</t>
        </is>
      </c>
      <c r="I28" s="2" t="inlineStr">
        <is>
          <t>2026-09-17</t>
        </is>
      </c>
      <c r="J28" s="2" t="inlineStr">
        <is>
          <t>Priya Natarajan</t>
        </is>
      </c>
      <c r="K28" s="2" t="inlineStr">
        <is>
          <t>BT-090-0124</t>
        </is>
      </c>
      <c r="L28" s="2" t="inlineStr">
        <is>
          <t>2026-10-14</t>
        </is>
      </c>
      <c r="M28" s="10" t="n">
        <v>3850</v>
      </c>
      <c r="N28" s="11" t="inlineStr">
        <is>
          <t>✓</t>
        </is>
      </c>
      <c r="O28" s="11" t="inlineStr">
        <is>
          <t>✓</t>
        </is>
      </c>
      <c r="P28" s="13" t="inlineStr">
        <is>
          <t>✗</t>
        </is>
      </c>
      <c r="Q28" s="14" t="inlineStr">
        <is>
          <t>例外 a</t>
        </is>
      </c>
    </row>
    <row r="29">
      <c r="A29" s="15" t="n"/>
      <c r="B29" s="16" t="inlineStr">
        <is>
          <t>合计 6 张</t>
        </is>
      </c>
      <c r="C29" s="15" t="n"/>
      <c r="D29" s="15" t="n"/>
      <c r="E29" s="15" t="n"/>
      <c r="F29" s="17">
        <f>SUM(F23:F28)</f>
        <v/>
      </c>
      <c r="G29" s="15" t="n"/>
      <c r="H29" s="15" t="n"/>
      <c r="I29" s="15" t="n"/>
      <c r="J29" s="15" t="n"/>
      <c r="K29" s="15" t="n"/>
      <c r="L29" s="15" t="n"/>
      <c r="M29" s="17">
        <f>SUM(M23:M28)</f>
        <v/>
      </c>
      <c r="N29" s="15" t="n"/>
      <c r="O29" s="15" t="n"/>
      <c r="P29" s="15" t="n"/>
      <c r="Q29" s="15" t="n"/>
    </row>
    <row r="31" ht="15" customHeight="1">
      <c r="A31" s="6" t="inlineStr">
        <is>
          <t>例外与处理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4" t="n"/>
    </row>
    <row r="32" ht="15" customHeight="1">
      <c r="A32" s="16" t="inlineStr">
        <is>
          <t>编号</t>
        </is>
      </c>
      <c r="B32" s="16" t="inlineStr">
        <is>
          <t>系统编号</t>
        </is>
      </c>
      <c r="C32" s="16" t="inlineStr">
        <is>
          <t>说明</t>
        </is>
      </c>
      <c r="D32" s="3" t="n"/>
      <c r="E32" s="3" t="n"/>
      <c r="F32" s="3" t="n"/>
      <c r="G32" s="3" t="n"/>
      <c r="H32" s="3" t="n"/>
      <c r="I32" s="4" t="n"/>
      <c r="J32" s="16" t="inlineStr">
        <is>
          <t>处理</t>
        </is>
      </c>
      <c r="K32" s="3" t="n"/>
      <c r="L32" s="3" t="n"/>
      <c r="M32" s="3" t="n"/>
      <c r="N32" s="3" t="n"/>
      <c r="O32" s="4" t="n"/>
      <c r="P32" s="16" t="inlineStr">
        <is>
          <t>状态</t>
        </is>
      </c>
      <c r="Q32" s="4" t="n"/>
    </row>
    <row r="33" ht="30" customHeight="1">
      <c r="A33" s="14" t="inlineStr">
        <is>
          <t>a</t>
        </is>
      </c>
      <c r="B33" s="2" t="inlineStr">
        <is>
          <t>X-REV-08-1-R03-1</t>
        </is>
      </c>
      <c r="C33" s="2" t="inlineStr">
        <is>
          <t>ORC1026 收款 3,850.00 (BT-090-0124, 2026-10-14), 发票 7,150.00, 差额 3,300.00。严重程度: 中。</t>
        </is>
      </c>
      <c r="D33" s="3" t="n"/>
      <c r="E33" s="3" t="n"/>
      <c r="F33" s="3" t="n"/>
      <c r="G33" s="3" t="n"/>
      <c r="H33" s="3" t="n"/>
      <c r="I33" s="4" t="n"/>
      <c r="J33" s="2" t="inlineStr">
        <is>
          <t>转 D-4 收入截止性判断 (REV-02, 尚未执行)。D-2 已评价合同 CON-X01: 控制权在完工日一次性转移, 发票须在 30 天内付款。</t>
        </is>
      </c>
      <c r="K33" s="3" t="n"/>
      <c r="L33" s="3" t="n"/>
      <c r="M33" s="3" t="n"/>
      <c r="N33" s="3" t="n"/>
      <c r="O33" s="4" t="n"/>
      <c r="P33" s="14" t="inlineStr">
        <is>
          <t>未解决</t>
        </is>
      </c>
      <c r="Q33" s="4" t="n"/>
    </row>
    <row r="35" ht="15" customHeight="1">
      <c r="A35" s="6" t="inlineStr">
        <is>
          <t>关注事项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4" t="n"/>
    </row>
    <row r="36" ht="15" customHeight="1">
      <c r="A36" s="7" t="inlineStr">
        <is>
          <t>ORC1024</t>
        </is>
      </c>
      <c r="B36" s="3" t="n"/>
      <c r="C36" s="4" t="n"/>
      <c r="D36" s="2" t="inlineStr">
        <is>
          <t>截至数据日 2026-10-17 尚未收到款项。本程序不对未收款发票作判断, 建议在应收账款期后收款中跟进 (本期计划未覆盖)。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4" t="n"/>
    </row>
    <row r="38" ht="15" customHeight="1">
      <c r="A38" s="6" t="inlineStr">
        <is>
          <t>结论 (智能体草拟, 待审计师复核)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4" t="n"/>
    </row>
    <row r="39" ht="15" customHeight="1">
      <c r="A39" s="2" t="inlineStr">
        <is>
          <t>截止窗口内 6 张发票均有服务完成记录, 签收日均不晚于期末, 未发现跨期入账。1 张发票的收款与发票金额不符 (例外 a), 待 D-4 判断后对收入发生认定下结论; 1 张发票尚未收款, 列为关注事项。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4" t="n"/>
    </row>
    <row r="41" ht="15" customHeight="1">
      <c r="A41" s="6" t="inlineStr">
        <is>
          <t>交叉索引与证据来源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4" t="n"/>
    </row>
    <row r="42" ht="15" customHeight="1">
      <c r="A42" s="7" t="inlineStr">
        <is>
          <t>交叉索引</t>
        </is>
      </c>
      <c r="B42" s="3" t="n"/>
      <c r="C42" s="4" t="n"/>
      <c r="D42" s="2" t="inlineStr">
        <is>
          <t>D 收入导引表; D-2 收入合同条款评价; D-4 收入截止性判断; X 错报汇总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4" t="n"/>
    </row>
    <row r="43" ht="15" customHeight="1">
      <c r="A43" s="7" t="inlineStr">
        <is>
          <t>证据来源</t>
        </is>
      </c>
      <c r="B43" s="3" t="n"/>
      <c r="C43" s="4" t="n"/>
      <c r="D43" s="2" t="inlineStr">
        <is>
          <t>发票与分录: Xero 同步; 服务完成记录: 审计师导入 delivery_notes.csv; 银行流水: Xero 同步 (账户 090)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4" t="n"/>
    </row>
    <row r="45" ht="15" customHeight="1">
      <c r="A45" s="6" t="inlineStr">
        <is>
          <t>复核意见: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4" t="n"/>
    </row>
  </sheetData>
  <mergeCells count="47">
    <mergeCell ref="A31:Q31"/>
    <mergeCell ref="A39:Q39"/>
    <mergeCell ref="A18:C18"/>
    <mergeCell ref="D19:Q19"/>
    <mergeCell ref="C32:I32"/>
    <mergeCell ref="A3:I3"/>
    <mergeCell ref="A12:C12"/>
    <mergeCell ref="A11:Q11"/>
    <mergeCell ref="A1:Q1"/>
    <mergeCell ref="A45:Q45"/>
    <mergeCell ref="D36:Q36"/>
    <mergeCell ref="A6:Q6"/>
    <mergeCell ref="A42:C42"/>
    <mergeCell ref="A2:I2"/>
    <mergeCell ref="J32:O32"/>
    <mergeCell ref="A8:C8"/>
    <mergeCell ref="A14:C14"/>
    <mergeCell ref="A17:C17"/>
    <mergeCell ref="A16:Q16"/>
    <mergeCell ref="D13:Q13"/>
    <mergeCell ref="A41:Q41"/>
    <mergeCell ref="C33:I33"/>
    <mergeCell ref="A4:I4"/>
    <mergeCell ref="A43:C43"/>
    <mergeCell ref="D17:Q17"/>
    <mergeCell ref="J4:Q4"/>
    <mergeCell ref="A13:C13"/>
    <mergeCell ref="A19:C19"/>
    <mergeCell ref="J33:O33"/>
    <mergeCell ref="A21:Q21"/>
    <mergeCell ref="P32:Q32"/>
    <mergeCell ref="D7:Q7"/>
    <mergeCell ref="A9:C9"/>
    <mergeCell ref="D43:Q43"/>
    <mergeCell ref="D18:Q18"/>
    <mergeCell ref="D9:Q9"/>
    <mergeCell ref="A36:C36"/>
    <mergeCell ref="D12:Q12"/>
    <mergeCell ref="D8:Q8"/>
    <mergeCell ref="J3:Q3"/>
    <mergeCell ref="A35:Q35"/>
    <mergeCell ref="A38:Q38"/>
    <mergeCell ref="D42:Q42"/>
    <mergeCell ref="J2:Q2"/>
    <mergeCell ref="P33:Q33"/>
    <mergeCell ref="A7:C7"/>
    <mergeCell ref="D14:Q14"/>
  </mergeCells>
  <pageMargins left="0.75" right="0.75" top="1" bottom="1" header="0.5" footer="0.5"/>
  <pageSetup orientation="landscape" fitToHeight="0" fitToWidth="1"/>
  <headerFooter>
    <oddHeader/>
    <oddFooter>&amp;LDemo Company (AU) Pty Ltd · ENG-2026-001 · D-3&amp;R第 &amp;P 页,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2026-10-20T13:21:45Z</dcterms:created>
  <dcterms:modified xsi:type="dcterms:W3CDTF">2026-10-20T13:21:45Z</dcterms:modified>
</cp:coreProperties>
</file>