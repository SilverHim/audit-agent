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Account Transactions" sheetId="1" r:id="rId1"/>
  </sheets>
  <calcPr calcId="162913"/>
</workbook>
</file>

<file path=xl/sharedStrings.xml><?xml version="1.0" encoding="utf-8"?>
<sst xmlns="http://schemas.openxmlformats.org/spreadsheetml/2006/main" count="345" uniqueCount="345">
  <si>
    <t>Account Transactions</t>
  </si>
  <si>
    <t>Demo Company (AU)</t>
  </si>
  <si>
    <t>For the period 1 January 2024 to 31 December 2027</t>
  </si>
  <si>
    <t>Date</t>
  </si>
  <si>
    <t>Source</t>
  </si>
  <si>
    <t>Description</t>
  </si>
  <si>
    <t>Reference</t>
  </si>
  <si>
    <t>Debit</t>
  </si>
  <si>
    <t>Credit</t>
  </si>
  <si>
    <t>Running Balance</t>
  </si>
  <si>
    <t>Gross</t>
  </si>
  <si>
    <t>GST</t>
  </si>
  <si>
    <t>Accounts Payable</t>
  </si>
  <si>
    <t>Opening Balance</t>
  </si>
  <si>
    <t>Payable Invoice</t>
  </si>
  <si>
    <t>DIISR - Small Business Services</t>
  </si>
  <si>
    <t>Payable Payment</t>
  </si>
  <si>
    <t>Payment: DIISR - Small Business Services</t>
  </si>
  <si>
    <t>Melrose Parking</t>
  </si>
  <si>
    <t>9871</t>
  </si>
  <si>
    <t>Qantas</t>
  </si>
  <si>
    <t>ICT 08</t>
  </si>
  <si>
    <t>Payment: Qantas</t>
  </si>
  <si>
    <t>Payment: Melrose Parking</t>
  </si>
  <si>
    <t>PC Complete</t>
  </si>
  <si>
    <t>PowerDirect</t>
  </si>
  <si>
    <t>31901</t>
  </si>
  <si>
    <t>Payable Credit Note</t>
  </si>
  <si>
    <t>03391</t>
  </si>
  <si>
    <t>Net Connect</t>
  </si>
  <si>
    <t>O721-001</t>
  </si>
  <si>
    <t>Payment: PC Complete</t>
  </si>
  <si>
    <t>Payable Credit Note Allocation</t>
  </si>
  <si>
    <t>Swanston Security</t>
  </si>
  <si>
    <t>Payment to Swanston Security</t>
  </si>
  <si>
    <t>Payment to Net Connect</t>
  </si>
  <si>
    <t>Payment to PowerDirect</t>
  </si>
  <si>
    <t>MCO Cleaning Services</t>
  </si>
  <si>
    <t>Central Copiers</t>
  </si>
  <si>
    <t>945-ORC</t>
  </si>
  <si>
    <t>Vodafone</t>
  </si>
  <si>
    <t>97781</t>
  </si>
  <si>
    <t>9901</t>
  </si>
  <si>
    <t>Party Hire</t>
  </si>
  <si>
    <t>Central Documentation Services</t>
  </si>
  <si>
    <t>3203</t>
  </si>
  <si>
    <t>Payment to Central Documentation Services</t>
  </si>
  <si>
    <t>Payment: Party Hire</t>
  </si>
  <si>
    <t>Payment to MCO Cleaning Services</t>
  </si>
  <si>
    <t>Payment to Vodafone</t>
  </si>
  <si>
    <t>O721-002</t>
  </si>
  <si>
    <t>SMART Agency</t>
  </si>
  <si>
    <t>SM0195-70135</t>
  </si>
  <si>
    <t>M000435</t>
  </si>
  <si>
    <t>Payment to Melrose Parking</t>
  </si>
  <si>
    <t>Xero</t>
  </si>
  <si>
    <t>Payment to Xero</t>
  </si>
  <si>
    <t>M000442</t>
  </si>
  <si>
    <t>M000456</t>
  </si>
  <si>
    <t>Payment: MCO Cleaning Services</t>
  </si>
  <si>
    <t>3395</t>
  </si>
  <si>
    <t>Truxton Property Management</t>
  </si>
  <si>
    <t>RENT</t>
  </si>
  <si>
    <t>O721-003</t>
  </si>
  <si>
    <t>ABC Furniture</t>
  </si>
  <si>
    <t>MKT-08123</t>
  </si>
  <si>
    <t>M000463</t>
  </si>
  <si>
    <t>C-20112</t>
  </si>
  <si>
    <t>SM0210-70209</t>
  </si>
  <si>
    <t>Bayside Club</t>
  </si>
  <si>
    <t>Payment: Truxton Property Management</t>
  </si>
  <si>
    <t>M000471</t>
  </si>
  <si>
    <t>Payment: Gateway Motors</t>
  </si>
  <si>
    <t>Gateway Motors</t>
  </si>
  <si>
    <t>Payment: Central Copiers</t>
  </si>
  <si>
    <t>Payment: ABC Furniture</t>
  </si>
  <si>
    <t>Bayside Wholesale</t>
  </si>
  <si>
    <t>GB1-White</t>
  </si>
  <si>
    <t>Heritage Trust</t>
  </si>
  <si>
    <t>Sub</t>
  </si>
  <si>
    <t>Capital Cab Co</t>
  </si>
  <si>
    <t>CS815</t>
  </si>
  <si>
    <t>Total Accounts Payable</t>
  </si>
  <si>
    <t>Closing Balance</t>
  </si>
  <si>
    <t>Accounts Receivable</t>
  </si>
  <si>
    <t>Receivable Invoice</t>
  </si>
  <si>
    <t>Maddox Publishing Group</t>
  </si>
  <si>
    <t>ORC0999</t>
  </si>
  <si>
    <t>Receivable Payment</t>
  </si>
  <si>
    <t>Payment: Maddox Publishing Group</t>
  </si>
  <si>
    <t>Rex Media Group</t>
  </si>
  <si>
    <t>Monthly support</t>
  </si>
  <si>
    <t>Yarra Transport</t>
  </si>
  <si>
    <t>Hamilton Smith Pty</t>
  </si>
  <si>
    <t>ORC1003</t>
  </si>
  <si>
    <t>Port Phillip Freight</t>
  </si>
  <si>
    <t>Bank West</t>
  </si>
  <si>
    <t>ORC1006</t>
  </si>
  <si>
    <t>Receivable Credit Note</t>
  </si>
  <si>
    <t>Monthly Support</t>
  </si>
  <si>
    <t>Receivable Credit Note Allocation</t>
  </si>
  <si>
    <t>City Limousines</t>
  </si>
  <si>
    <t>ORC1002</t>
  </si>
  <si>
    <t>Payment: Port Phillip Freight</t>
  </si>
  <si>
    <t>Payment: Hamilton Smith Pty</t>
  </si>
  <si>
    <t>Payment: Yarra Transport</t>
  </si>
  <si>
    <t>Payment: Rex Media Group</t>
  </si>
  <si>
    <t>City Ambassadors Association</t>
  </si>
  <si>
    <t>ORC1004</t>
  </si>
  <si>
    <t>CR1005</t>
  </si>
  <si>
    <t>ORC1005</t>
  </si>
  <si>
    <t>Petrie McLoud Watson &amp; Associates</t>
  </si>
  <si>
    <t>CSD0845</t>
  </si>
  <si>
    <t>Payment from Bank West</t>
  </si>
  <si>
    <t>Payment from City Ambassadors Association</t>
  </si>
  <si>
    <t>Kinnet &amp; Jones</t>
  </si>
  <si>
    <t>RAC project</t>
  </si>
  <si>
    <t>Portal proj</t>
  </si>
  <si>
    <t>Payment from City Limousines</t>
  </si>
  <si>
    <t>Payment from Kinnet &amp; Jones</t>
  </si>
  <si>
    <t>ORC1012</t>
  </si>
  <si>
    <t>Payment from Petrie McLoud Watson &amp; Associates</t>
  </si>
  <si>
    <t>Blue Winn Polytechnic</t>
  </si>
  <si>
    <t>BWP p.o. R22987</t>
  </si>
  <si>
    <t>Payment from Yarra Transport</t>
  </si>
  <si>
    <t>Yr ref H008-346</t>
  </si>
  <si>
    <t>Payment from Rex Media Group</t>
  </si>
  <si>
    <t>Payment from Hamilton Smith Pty</t>
  </si>
  <si>
    <t>Payment from Port Phillip Freight</t>
  </si>
  <si>
    <t>Quantum Consultants</t>
  </si>
  <si>
    <t>ORC1015</t>
  </si>
  <si>
    <t>ORC1037</t>
  </si>
  <si>
    <t>Carruthers &amp; Smale</t>
  </si>
  <si>
    <t>ORC1024</t>
  </si>
  <si>
    <t>Payment from Quantum Consultants</t>
  </si>
  <si>
    <t>Payment from Blue Winn Polytechnic</t>
  </si>
  <si>
    <t>Payment from Carruthers &amp; Smale</t>
  </si>
  <si>
    <t>Website</t>
  </si>
  <si>
    <t>City Agency</t>
  </si>
  <si>
    <t>Golf Balls</t>
  </si>
  <si>
    <t>Pinnacle Management</t>
  </si>
  <si>
    <t>PO403/CSD</t>
  </si>
  <si>
    <t>Ridgeway University</t>
  </si>
  <si>
    <t>P/O CRM08-12</t>
  </si>
  <si>
    <t>Boom FM</t>
  </si>
  <si>
    <t>Training</t>
  </si>
  <si>
    <t>Consulting</t>
  </si>
  <si>
    <t>Payment: City Agency</t>
  </si>
  <si>
    <t>ORC1040</t>
  </si>
  <si>
    <t>Payment: Bank West</t>
  </si>
  <si>
    <t>ORC1041</t>
  </si>
  <si>
    <t>Payment: Boom FM</t>
  </si>
  <si>
    <t>Cube Land</t>
  </si>
  <si>
    <t>ORC1032</t>
  </si>
  <si>
    <t>Payment: Petrie McLoud Watson &amp; Associates</t>
  </si>
  <si>
    <t>Basket Case</t>
  </si>
  <si>
    <t>ORC1036</t>
  </si>
  <si>
    <t>Marine Systems</t>
  </si>
  <si>
    <t>Ref MK815</t>
  </si>
  <si>
    <t>Support</t>
  </si>
  <si>
    <t>Total Accounts Receivable</t>
  </si>
  <si>
    <t>Advertising</t>
  </si>
  <si>
    <t>Spend Money</t>
  </si>
  <si>
    <t>Stitch a Brand</t>
  </si>
  <si>
    <t>SMART Agency - Design concepts for advertising material</t>
  </si>
  <si>
    <t>SMART Agency - Design prototypes for advertising material</t>
  </si>
  <si>
    <t>Total Advertising</t>
  </si>
  <si>
    <t>Bank Fees</t>
  </si>
  <si>
    <t>NAB</t>
  </si>
  <si>
    <t>Bank - Bank fee</t>
  </si>
  <si>
    <t>Business Savings Bank - Account maintenance/change fee</t>
  </si>
  <si>
    <t>Total Bank Fees</t>
  </si>
  <si>
    <t>Business Bank Account</t>
  </si>
  <si>
    <t>Conversion Balance Journal</t>
  </si>
  <si>
    <t>Conversion Balance</t>
  </si>
  <si>
    <t>Southside Office Supplies</t>
  </si>
  <si>
    <t>Victoria Property Agency</t>
  </si>
  <si>
    <t>Woolworths</t>
  </si>
  <si>
    <t>Berry Brew</t>
  </si>
  <si>
    <t>ORC1010</t>
  </si>
  <si>
    <t>ORC1008</t>
  </si>
  <si>
    <t>ORC1009</t>
  </si>
  <si>
    <t>ORC1011</t>
  </si>
  <si>
    <t>Brunswick Petals</t>
  </si>
  <si>
    <t>Oliver Gray</t>
  </si>
  <si>
    <t>Wages</t>
  </si>
  <si>
    <t>Odette Garrison</t>
  </si>
  <si>
    <t>Tracy Green</t>
  </si>
  <si>
    <t>DD # 96013</t>
  </si>
  <si>
    <t>Mobil</t>
  </si>
  <si>
    <t>Part</t>
  </si>
  <si>
    <t>ORC1000</t>
  </si>
  <si>
    <t>ORC1007</t>
  </si>
  <si>
    <t>DD 112102</t>
  </si>
  <si>
    <t>ORC1001</t>
  </si>
  <si>
    <t>ORC1017</t>
  </si>
  <si>
    <t>ORC1019</t>
  </si>
  <si>
    <t>ORC1016</t>
  </si>
  <si>
    <t>ORC1018</t>
  </si>
  <si>
    <t>DD Ref 112974</t>
  </si>
  <si>
    <t>Adjustment</t>
  </si>
  <si>
    <t>Reconciliation adjustment</t>
  </si>
  <si>
    <t>Part 1</t>
  </si>
  <si>
    <t>ORC1014</t>
  </si>
  <si>
    <t>DD Ref 113763</t>
  </si>
  <si>
    <t>Expense Claim Payment</t>
  </si>
  <si>
    <t>Payment to Orange Girl</t>
  </si>
  <si>
    <t>ORC1013</t>
  </si>
  <si>
    <t>Payment to Odette Garrison</t>
  </si>
  <si>
    <t>Bank</t>
  </si>
  <si>
    <t>Passing Places Parking</t>
  </si>
  <si>
    <t>Bank Transfer</t>
  </si>
  <si>
    <t>Bank Transfer from Business Savings Account to Business Bank Account</t>
  </si>
  <si>
    <t>SV TRFR</t>
  </si>
  <si>
    <t>Melbourne Mags</t>
  </si>
  <si>
    <t>7-Eleven</t>
  </si>
  <si>
    <t>Microsoft</t>
  </si>
  <si>
    <t>ORC1021</t>
  </si>
  <si>
    <t>ORC1023</t>
  </si>
  <si>
    <t>David Jones</t>
  </si>
  <si>
    <t>ORC1044</t>
  </si>
  <si>
    <t>ORC1045</t>
  </si>
  <si>
    <t>Dep 81002</t>
  </si>
  <si>
    <t>ORC1020</t>
  </si>
  <si>
    <t>AP</t>
  </si>
  <si>
    <t>ORC1026</t>
  </si>
  <si>
    <t>Dick Smith</t>
  </si>
  <si>
    <t>ORC1047</t>
  </si>
  <si>
    <t>ORC1046</t>
  </si>
  <si>
    <t>Receive Money</t>
  </si>
  <si>
    <t>Cr</t>
  </si>
  <si>
    <t>ORC1048</t>
  </si>
  <si>
    <t>Total Business Bank Account</t>
  </si>
  <si>
    <t>Business Savings Account</t>
  </si>
  <si>
    <t>Business Savings Bank</t>
  </si>
  <si>
    <t>Ridgeway Savings &amp; Loan</t>
  </si>
  <si>
    <t>WIRETRF</t>
  </si>
  <si>
    <t>Total Business Savings Account</t>
  </si>
  <si>
    <t>Cleaning</t>
  </si>
  <si>
    <t>MCO Cleaning Services - Office Cleaning - daily rate</t>
  </si>
  <si>
    <t>MCO Cleaning Services - Office cleaning services</t>
  </si>
  <si>
    <t>Total Cleaning</t>
  </si>
  <si>
    <t>Computer Equipment</t>
  </si>
  <si>
    <t>PC Complete - Laptop (Tracy)</t>
  </si>
  <si>
    <t>Total Computer Equipment</t>
  </si>
  <si>
    <t>Consulting &amp; Accounting</t>
  </si>
  <si>
    <t>DIISR - Small Business Services - Half day training - Microsoft Office</t>
  </si>
  <si>
    <t>Total Consulting &amp; Accounting</t>
  </si>
  <si>
    <t>Entertainment</t>
  </si>
  <si>
    <t>Expense Claim</t>
  </si>
  <si>
    <t>Expense claim for Odette Grainger</t>
  </si>
  <si>
    <t>Expense claim for Orange Girl</t>
  </si>
  <si>
    <t>Total Entertainment</t>
  </si>
  <si>
    <t>Freight &amp; Courier</t>
  </si>
  <si>
    <t>Bayside Club - Courier charge</t>
  </si>
  <si>
    <t>Total Freight &amp; Courier</t>
  </si>
  <si>
    <t>General Expenses</t>
  </si>
  <si>
    <t>Central Copiers - Photocopier repair &amp; drum replacement</t>
  </si>
  <si>
    <t>Bayside Club - Room hire</t>
  </si>
  <si>
    <t>Total General Expenses</t>
  </si>
  <si>
    <t>Manual Journal</t>
  </si>
  <si>
    <t>Being depreciation on office equipment</t>
  </si>
  <si>
    <t>#499</t>
  </si>
  <si>
    <t>Total GST</t>
  </si>
  <si>
    <t>Historical Adjustment</t>
  </si>
  <si>
    <t>Total Historical Adjustment</t>
  </si>
  <si>
    <t>Interest Income</t>
  </si>
  <si>
    <t>Business Savings Bank - Interest</t>
  </si>
  <si>
    <t>Total Interest Income</t>
  </si>
  <si>
    <t>Inventory</t>
  </si>
  <si>
    <t>Inventory Opening Balance</t>
  </si>
  <si>
    <t>Total Inventory</t>
  </si>
  <si>
    <t>Legal expenses</t>
  </si>
  <si>
    <t>Ridgeway Savings &amp; Loan - BANKWIRE</t>
  </si>
  <si>
    <t>Total Legal expenses</t>
  </si>
  <si>
    <t>Less Accumulated Depreciation on Office Equipment</t>
  </si>
  <si>
    <t>Being depreciation on office equipment - Office equipment depreciation</t>
  </si>
  <si>
    <t>Total Less Accumulated Depreciation on Office Equipment</t>
  </si>
  <si>
    <t>Light, Power, Heating</t>
  </si>
  <si>
    <t>PowerDirect - Monthly electricity</t>
  </si>
  <si>
    <t>Total Light, Power, Heating</t>
  </si>
  <si>
    <t>Motor Vehicle Expenses</t>
  </si>
  <si>
    <t>Mobil - Petrol in company car</t>
  </si>
  <si>
    <t>Gateway Motors - Annual service corp car</t>
  </si>
  <si>
    <t>Total Motor Vehicle Expenses</t>
  </si>
  <si>
    <t>Office Equipment</t>
  </si>
  <si>
    <t>ABC Furniture - Desks, chairs, reception furniture for office</t>
  </si>
  <si>
    <t>Total Office Equipment</t>
  </si>
  <si>
    <t>Office Expenses</t>
  </si>
  <si>
    <t>DIISR - Small Business Services - Desktop/network support via email &amp; phone. Per month fixed fee for minimum 20 hours/month.</t>
  </si>
  <si>
    <t>DIISR - Small Business Services - Desktop/network support via email &amp; phone.
Per month fixed fee for minimum 20 hours/month.</t>
  </si>
  <si>
    <t>7-Eleven - Misc corner store</t>
  </si>
  <si>
    <t>Total Office Expenses</t>
  </si>
  <si>
    <t>PAYG Withholdings Payable</t>
  </si>
  <si>
    <t>Total PAYG Withholdings Payable</t>
  </si>
  <si>
    <t>Printing &amp; Stationery</t>
  </si>
  <si>
    <t>DIISR - Small Business Services - Stationery charges</t>
  </si>
  <si>
    <t>Total Printing &amp; Stationery</t>
  </si>
  <si>
    <t>Purchases</t>
  </si>
  <si>
    <t>Bayside Wholesale - Golf balls - white single</t>
  </si>
  <si>
    <t>Total Purchases</t>
  </si>
  <si>
    <t>Rent</t>
  </si>
  <si>
    <t>Truxton Property Management - Monthly rent in advance</t>
  </si>
  <si>
    <t>Total Rent</t>
  </si>
  <si>
    <t>Retained Earnings</t>
  </si>
  <si>
    <t>End of Period</t>
  </si>
  <si>
    <t>Net Profit</t>
  </si>
  <si>
    <t>Net Loss</t>
  </si>
  <si>
    <t>Total Retained Earnings</t>
  </si>
  <si>
    <t>Rounding</t>
  </si>
  <si>
    <t>Total Rounding</t>
  </si>
  <si>
    <t>Sales</t>
  </si>
  <si>
    <t>Maddox Publishing Group - Project Management - onsite daily rate</t>
  </si>
  <si>
    <t>City Limousines - Project management &amp; implementation - branding workshop with your team</t>
  </si>
  <si>
    <t>City Limousines - Project management &amp; implementation - website revamp workshop with your team to incorporate new brand and mission statement</t>
  </si>
  <si>
    <t>City Limousines - Credit on overcharge for work last month as discussed</t>
  </si>
  <si>
    <t>Bank West - Website creation</t>
  </si>
  <si>
    <t>City Agency - Golf Balls</t>
  </si>
  <si>
    <t>Ridgeway University - Onsite project management for CRM Project 3 days/week</t>
  </si>
  <si>
    <t>Boom FM - Half day training - Microsoft Office - Marketing team</t>
  </si>
  <si>
    <t>Petrie McLoud Watson &amp; Associates - Development work - software integration</t>
  </si>
  <si>
    <t>Boom FM - Development work - software integration</t>
  </si>
  <si>
    <t>Bayside Club - Golf balls - white - 9 pack. Please reorder with code GB9-White</t>
  </si>
  <si>
    <t>DIISR - Small Business Services - Project management &amp; implementation - 'due diligence' stocktake of your project scope/schedule/implementation plan/outcome measures (hourly rate as agreed)</t>
  </si>
  <si>
    <t>Basket Case - Development work - per hour rate</t>
  </si>
  <si>
    <t>Basket Case - Project team meeting to discuss dev changes required to your online gift basket ordering system</t>
  </si>
  <si>
    <t>Marine Systems - Marketing guides</t>
  </si>
  <si>
    <t>Bayside Club - Golf balls - white single</t>
  </si>
  <si>
    <t>Boom FM - Desktop/network support via email &amp; phone.
Per month fixed fee for minimum 20 hours/month.</t>
  </si>
  <si>
    <t>Total Sales</t>
  </si>
  <si>
    <t>Subscriptions</t>
  </si>
  <si>
    <t>Total Subscriptions</t>
  </si>
  <si>
    <t>Telephone &amp; Internet</t>
  </si>
  <si>
    <t>Net Connect - ADSL monthly</t>
  </si>
  <si>
    <t>Total Telephone &amp; Internet</t>
  </si>
  <si>
    <t>Tracking Transfers</t>
  </si>
  <si>
    <t>Total Tracking Transfers</t>
  </si>
  <si>
    <t>Travel - National</t>
  </si>
  <si>
    <t>Capital Cab Co - Taxi services</t>
  </si>
  <si>
    <t>Total Travel - National</t>
  </si>
  <si>
    <t>Unpaid Expense Claims</t>
  </si>
  <si>
    <t>Total Unpaid Expense Claims</t>
  </si>
  <si>
    <t>Wages and Salaries</t>
  </si>
  <si>
    <t>Total Wages and Salaries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</si>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</sst>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;(#,##0.00)"/>
    <numFmt numFmtId="165" formatCode="dd mmm yyyy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0" xfId="0" applyFont="true" applyBorder="true" applyAlignment="true">
      <alignment vertical="center"/>
    </xf>
    <xf numFmtId="0" fontId="0" fillId="0" borderId="0" xfId="0" applyFont="true"/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165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165" fontId="0" fillId="0" borderId="3" xfId="0" applyNumberFormat="true" applyFont="true" applyBorder="true" applyAlignment="true">
      <alignment horizontal="left" vertical="center"/>
    </xf>
    <xf numFmtId="0" fontId="0" fillId="0" borderId="3" xfId="0" applyFont="true" applyBorder="true" applyAlignment="true">
      <alignment vertical="center"/>
    </xf>
    <xf numFmtId="164" fontId="0" fillId="0" borderId="3" xfId="0" applyNumberFormat="true" applyFont="true" applyBorder="true" applyAlignment="true">
      <alignment horizontal="right" vertical="center"/>
    </xf>
    <xf numFmtId="0" fontId="6" fillId="0" borderId="3" xfId="0" applyFont="true" applyBorder="true" applyAlignment="true">
      <alignment vertical="center"/>
    </xf>
    <xf numFmtId="164" fontId="6" fillId="0" borderId="3" xfId="0" applyNumberFormat="true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3" xfId="0" applyFont="true" applyBorder="true" applyAlignment="true">
      <alignment vertical="center" wrapText="true"/>
    </xf>
    <xf numFmtId="0" fontId="6" fillId="2" borderId="2" xfId="0" applyFont="true" applyFill="true" applyBorder="true" applyAlignment="true">
      <alignment vertical="center"/>
    </xf>
    <xf numFmtId="164" fontId="6" fillId="2" borderId="2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814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56.83203125" customWidth="1"/>
    <col min="2" max="2" width="31.66015625" customWidth="1"/>
    <col min="3" max="3" width="100" customWidth="1"/>
    <col min="4" max="4" width="17.5" customWidth="1"/>
    <col min="5" max="6" width="10.16015625" customWidth="1"/>
    <col min="7" max="7" width="19.33203125" customWidth="1"/>
    <col min="8" max="8" width="10.5" customWidth="1"/>
    <col min="9" max="9" width="8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6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</row>
    <row r="6" ht="13.35" customHeight="true"/>
    <row r="7" ht="12.1" customHeight="true" customFormat="true" s="5">
      <c r="A7" s="8" t="s">
        <v>12</v>
      </c>
      <c r="B7" s="8"/>
      <c r="C7" s="8"/>
      <c r="D7" s="8"/>
      <c r="E7" s="8"/>
      <c r="F7" s="8"/>
      <c r="G7" s="8"/>
      <c r="H7" s="8"/>
      <c r="I7" s="8"/>
    </row>
    <row r="8" ht="10.95" customHeight="true" customFormat="true" s="9">
      <c r="A8" s="10" t="s">
        <v>13</v>
      </c>
      <c r="B8" s="10"/>
      <c r="C8" s="10"/>
      <c r="D8" s="10"/>
      <c r="E8" s="11">
        <v>0</v>
      </c>
      <c r="F8" s="11">
        <v>0</v>
      </c>
      <c r="G8" s="11">
        <f ca="1">(F8 - E8)</f>
        <v>0</v>
      </c>
      <c r="H8" s="11">
        <v>0</v>
      </c>
      <c r="I8" s="11">
        <v>0</v>
      </c>
    </row>
    <row r="9" ht="10.95" customHeight="true" customFormat="true" s="9">
      <c r="A9" s="12">
        <v>45854</v>
      </c>
      <c r="B9" s="13" t="s">
        <v>14</v>
      </c>
      <c r="C9" s="13" t="s">
        <v>15</v>
      </c>
      <c r="D9" s="13"/>
      <c r="E9" s="14">
        <v>0</v>
      </c>
      <c r="F9" s="14">
        <v>6661.6000</v>
      </c>
      <c r="G9" s="14">
        <f ca="1">((G8 + F9) - E9)</f>
        <v>0</v>
      </c>
      <c r="H9" s="14">
        <v>6661.6000</v>
      </c>
      <c r="I9" s="14">
        <v>0</v>
      </c>
    </row>
    <row r="10" ht="10.95" customHeight="true" customFormat="true" s="9">
      <c r="A10" s="15">
        <v>45885</v>
      </c>
      <c r="B10" s="16" t="s">
        <v>16</v>
      </c>
      <c r="C10" s="16" t="s">
        <v>17</v>
      </c>
      <c r="D10" s="16"/>
      <c r="E10" s="17">
        <v>6661.6000</v>
      </c>
      <c r="F10" s="17">
        <v>0</v>
      </c>
      <c r="G10" s="17">
        <f ca="1">((G9 + F10) - E10)</f>
        <v>0</v>
      </c>
      <c r="H10" s="17">
        <v>-6661.6000</v>
      </c>
      <c r="I10" s="17">
        <v>0</v>
      </c>
    </row>
    <row r="11" ht="10.95" customHeight="true" customFormat="true" s="9">
      <c r="A11" s="15">
        <v>45916</v>
      </c>
      <c r="B11" s="16" t="s">
        <v>14</v>
      </c>
      <c r="C11" s="16" t="s">
        <v>15</v>
      </c>
      <c r="D11" s="16"/>
      <c r="E11" s="17">
        <v>0</v>
      </c>
      <c r="F11" s="17">
        <v>6661.6000</v>
      </c>
      <c r="G11" s="17">
        <f ca="1">((G10 + F11) - E11)</f>
        <v>0</v>
      </c>
      <c r="H11" s="17">
        <v>6661.6000</v>
      </c>
      <c r="I11" s="17">
        <v>0</v>
      </c>
    </row>
    <row r="12" ht="10.95" customHeight="true" customFormat="true" s="9">
      <c r="A12" s="15">
        <v>45946</v>
      </c>
      <c r="B12" s="16" t="s">
        <v>16</v>
      </c>
      <c r="C12" s="16" t="s">
        <v>17</v>
      </c>
      <c r="D12" s="16"/>
      <c r="E12" s="17">
        <v>6661.6000</v>
      </c>
      <c r="F12" s="17">
        <v>0</v>
      </c>
      <c r="G12" s="17">
        <f ca="1">((G11 + F12) - E12)</f>
        <v>0</v>
      </c>
      <c r="H12" s="17">
        <v>-6661.6000</v>
      </c>
      <c r="I12" s="17">
        <v>0</v>
      </c>
    </row>
    <row r="13" ht="10.95" customHeight="true" customFormat="true" s="9">
      <c r="A13" s="15">
        <v>46220</v>
      </c>
      <c r="B13" s="16" t="s">
        <v>14</v>
      </c>
      <c r="C13" s="16" t="s">
        <v>18</v>
      </c>
      <c r="D13" s="16" t="s">
        <v>19</v>
      </c>
      <c r="E13" s="17">
        <v>0</v>
      </c>
      <c r="F13" s="17">
        <v>148.5000</v>
      </c>
      <c r="G13" s="17">
        <f ca="1">((G12 + F13) - E13)</f>
        <v>0</v>
      </c>
      <c r="H13" s="17">
        <v>148.5000</v>
      </c>
      <c r="I13" s="17">
        <v>0</v>
      </c>
    </row>
    <row r="14" ht="10.95" customHeight="true" customFormat="true" s="9">
      <c r="A14" s="15">
        <v>46221</v>
      </c>
      <c r="B14" s="16" t="s">
        <v>14</v>
      </c>
      <c r="C14" s="16" t="s">
        <v>20</v>
      </c>
      <c r="D14" s="16" t="s">
        <v>21</v>
      </c>
      <c r="E14" s="17">
        <v>0</v>
      </c>
      <c r="F14" s="17">
        <v>218.9000</v>
      </c>
      <c r="G14" s="17">
        <f ca="1">((G13 + F14) - E14)</f>
        <v>0</v>
      </c>
      <c r="H14" s="17">
        <v>218.9000</v>
      </c>
      <c r="I14" s="17">
        <v>0</v>
      </c>
    </row>
    <row r="15" ht="10.95" customHeight="true" customFormat="true" s="9">
      <c r="A15" s="15">
        <v>46222</v>
      </c>
      <c r="B15" s="16" t="s">
        <v>16</v>
      </c>
      <c r="C15" s="16" t="s">
        <v>22</v>
      </c>
      <c r="D15" s="16" t="s">
        <v>21</v>
      </c>
      <c r="E15" s="17">
        <v>218.9000</v>
      </c>
      <c r="F15" s="17">
        <v>0</v>
      </c>
      <c r="G15" s="17">
        <f ca="1">((G14 + F15) - E15)</f>
        <v>0</v>
      </c>
      <c r="H15" s="17">
        <v>-218.9000</v>
      </c>
      <c r="I15" s="17">
        <v>0</v>
      </c>
    </row>
    <row r="16" ht="10.95" customHeight="true" customFormat="true" s="9">
      <c r="A16" s="15">
        <v>46228</v>
      </c>
      <c r="B16" s="16" t="s">
        <v>16</v>
      </c>
      <c r="C16" s="16" t="s">
        <v>23</v>
      </c>
      <c r="D16" s="16" t="s">
        <v>19</v>
      </c>
      <c r="E16" s="17">
        <v>148.5000</v>
      </c>
      <c r="F16" s="17">
        <v>0</v>
      </c>
      <c r="G16" s="17">
        <f ca="1">((G15 + F16) - E16)</f>
        <v>0</v>
      </c>
      <c r="H16" s="17">
        <v>-148.5000</v>
      </c>
      <c r="I16" s="17">
        <v>0</v>
      </c>
    </row>
    <row r="17" ht="10.95" customHeight="true" customFormat="true" s="9">
      <c r="A17" s="15">
        <v>46233</v>
      </c>
      <c r="B17" s="16" t="s">
        <v>14</v>
      </c>
      <c r="C17" s="16" t="s">
        <v>24</v>
      </c>
      <c r="D17" s="16"/>
      <c r="E17" s="17">
        <v>0</v>
      </c>
      <c r="F17" s="17">
        <v>1193.5000</v>
      </c>
      <c r="G17" s="17">
        <f ca="1">((G16 + F17) - E17)</f>
        <v>0</v>
      </c>
      <c r="H17" s="17">
        <v>1193.5000</v>
      </c>
      <c r="I17" s="17">
        <v>0</v>
      </c>
    </row>
    <row r="18" ht="10.95" customHeight="true" customFormat="true" s="9">
      <c r="A18" s="15">
        <v>46233</v>
      </c>
      <c r="B18" s="16" t="s">
        <v>14</v>
      </c>
      <c r="C18" s="16" t="s">
        <v>25</v>
      </c>
      <c r="D18" s="16" t="s">
        <v>26</v>
      </c>
      <c r="E18" s="17">
        <v>0</v>
      </c>
      <c r="F18" s="17">
        <v>385.0000</v>
      </c>
      <c r="G18" s="17">
        <f ca="1">((G17 + F18) - E18)</f>
        <v>0</v>
      </c>
      <c r="H18" s="17">
        <v>385.0000</v>
      </c>
      <c r="I18" s="17">
        <v>0</v>
      </c>
    </row>
    <row r="19" ht="10.95" customHeight="true" customFormat="true" s="9">
      <c r="A19" s="15">
        <v>46234</v>
      </c>
      <c r="B19" s="16" t="s">
        <v>27</v>
      </c>
      <c r="C19" s="16" t="s">
        <v>24</v>
      </c>
      <c r="D19" s="16" t="s">
        <v>28</v>
      </c>
      <c r="E19" s="17">
        <v>218.9000</v>
      </c>
      <c r="F19" s="17">
        <v>0</v>
      </c>
      <c r="G19" s="17">
        <f ca="1">((G18 + F19) - E19)</f>
        <v>0</v>
      </c>
      <c r="H19" s="17">
        <v>-218.9000</v>
      </c>
      <c r="I19" s="17">
        <v>0</v>
      </c>
    </row>
    <row r="20" ht="10.95" customHeight="true" customFormat="true" s="9">
      <c r="A20" s="15">
        <v>46237</v>
      </c>
      <c r="B20" s="16" t="s">
        <v>14</v>
      </c>
      <c r="C20" s="16" t="s">
        <v>29</v>
      </c>
      <c r="D20" s="16" t="s">
        <v>30</v>
      </c>
      <c r="E20" s="17">
        <v>0</v>
      </c>
      <c r="F20" s="17">
        <v>35.7500</v>
      </c>
      <c r="G20" s="17">
        <f ca="1">((G19 + F20) - E20)</f>
        <v>0</v>
      </c>
      <c r="H20" s="17">
        <v>35.7500</v>
      </c>
      <c r="I20" s="17">
        <v>0</v>
      </c>
    </row>
    <row r="21" ht="10.95" customHeight="true" customFormat="true" s="9">
      <c r="A21" s="15">
        <v>46239</v>
      </c>
      <c r="B21" s="16" t="s">
        <v>16</v>
      </c>
      <c r="C21" s="16" t="s">
        <v>31</v>
      </c>
      <c r="D21" s="16"/>
      <c r="E21" s="17">
        <v>974.6000</v>
      </c>
      <c r="F21" s="17">
        <v>0</v>
      </c>
      <c r="G21" s="17">
        <f ca="1">((G20 + F21) - E21)</f>
        <v>0</v>
      </c>
      <c r="H21" s="17">
        <v>-974.6000</v>
      </c>
      <c r="I21" s="17">
        <v>0</v>
      </c>
    </row>
    <row r="22" ht="10.95" customHeight="true" customFormat="true" s="9">
      <c r="A22" s="15">
        <v>46239</v>
      </c>
      <c r="B22" s="16" t="s">
        <v>32</v>
      </c>
      <c r="C22" s="16" t="s">
        <v>24</v>
      </c>
      <c r="D22" s="16" t="s">
        <v>28</v>
      </c>
      <c r="E22" s="17">
        <v>218.9000</v>
      </c>
      <c r="F22" s="17">
        <v>0</v>
      </c>
      <c r="G22" s="17">
        <f ca="1">((G21 + F22) - E22)</f>
        <v>0</v>
      </c>
      <c r="H22" s="17">
        <v>-218.9000</v>
      </c>
      <c r="I22" s="17">
        <v>0</v>
      </c>
    </row>
    <row r="23" ht="10.95" customHeight="true" customFormat="true" s="9">
      <c r="A23" s="15">
        <v>46239</v>
      </c>
      <c r="B23" s="16" t="s">
        <v>32</v>
      </c>
      <c r="C23" s="16" t="s">
        <v>24</v>
      </c>
      <c r="D23" s="16" t="s">
        <v>28</v>
      </c>
      <c r="E23" s="17">
        <v>0</v>
      </c>
      <c r="F23" s="17">
        <v>218.9000</v>
      </c>
      <c r="G23" s="17">
        <f ca="1">((G22 + F23) - E23)</f>
        <v>0</v>
      </c>
      <c r="H23" s="17">
        <v>218.9000</v>
      </c>
      <c r="I23" s="17">
        <v>0</v>
      </c>
    </row>
    <row r="24" ht="10.95" customHeight="true" customFormat="true" s="9">
      <c r="A24" s="15">
        <v>46239</v>
      </c>
      <c r="B24" s="16" t="s">
        <v>14</v>
      </c>
      <c r="C24" s="16" t="s">
        <v>33</v>
      </c>
      <c r="D24" s="16"/>
      <c r="E24" s="17">
        <v>0</v>
      </c>
      <c r="F24" s="17">
        <v>75.9000</v>
      </c>
      <c r="G24" s="17">
        <f ca="1">((G23 + F24) - E24)</f>
        <v>0</v>
      </c>
      <c r="H24" s="17">
        <v>75.9000</v>
      </c>
      <c r="I24" s="17">
        <v>0</v>
      </c>
    </row>
    <row r="25" ht="10.95" customHeight="true" customFormat="true" s="9">
      <c r="A25" s="15">
        <v>46250</v>
      </c>
      <c r="B25" s="16" t="s">
        <v>16</v>
      </c>
      <c r="C25" s="16" t="s">
        <v>34</v>
      </c>
      <c r="D25" s="16"/>
      <c r="E25" s="17">
        <v>75.9000</v>
      </c>
      <c r="F25" s="17">
        <v>0</v>
      </c>
      <c r="G25" s="17">
        <f ca="1">((G24 + F25) - E25)</f>
        <v>0</v>
      </c>
      <c r="H25" s="17">
        <v>-75.9000</v>
      </c>
      <c r="I25" s="17">
        <v>0</v>
      </c>
    </row>
    <row r="26" ht="10.95" customHeight="true" customFormat="true" s="9">
      <c r="A26" s="15">
        <v>46250</v>
      </c>
      <c r="B26" s="16" t="s">
        <v>16</v>
      </c>
      <c r="C26" s="16" t="s">
        <v>35</v>
      </c>
      <c r="D26" s="16" t="s">
        <v>30</v>
      </c>
      <c r="E26" s="17">
        <v>35.7500</v>
      </c>
      <c r="F26" s="17">
        <v>0</v>
      </c>
      <c r="G26" s="17">
        <f ca="1">((G25 + F26) - E26)</f>
        <v>0</v>
      </c>
      <c r="H26" s="17">
        <v>-35.7500</v>
      </c>
      <c r="I26" s="17">
        <v>0</v>
      </c>
    </row>
    <row r="27" ht="10.95" customHeight="true" customFormat="true" s="9">
      <c r="A27" s="15">
        <v>46250</v>
      </c>
      <c r="B27" s="16" t="s">
        <v>16</v>
      </c>
      <c r="C27" s="16" t="s">
        <v>36</v>
      </c>
      <c r="D27" s="16" t="s">
        <v>26</v>
      </c>
      <c r="E27" s="17">
        <v>385.0000</v>
      </c>
      <c r="F27" s="17">
        <v>0</v>
      </c>
      <c r="G27" s="17">
        <f ca="1">((G26 + F27) - E27)</f>
        <v>0</v>
      </c>
      <c r="H27" s="17">
        <v>-385.0000</v>
      </c>
      <c r="I27" s="17">
        <v>0</v>
      </c>
    </row>
    <row r="28" ht="10.95" customHeight="true" customFormat="true" s="9">
      <c r="A28" s="15">
        <v>46250</v>
      </c>
      <c r="B28" s="16" t="s">
        <v>14</v>
      </c>
      <c r="C28" s="16" t="s">
        <v>37</v>
      </c>
      <c r="D28" s="16"/>
      <c r="E28" s="17">
        <v>0</v>
      </c>
      <c r="F28" s="17">
        <v>170.5000</v>
      </c>
      <c r="G28" s="17">
        <f ca="1">((G27 + F28) - E28)</f>
        <v>0</v>
      </c>
      <c r="H28" s="17">
        <v>170.5000</v>
      </c>
      <c r="I28" s="17">
        <v>0</v>
      </c>
    </row>
    <row r="29" ht="10.95" customHeight="true" customFormat="true" s="9">
      <c r="A29" s="15">
        <v>46251</v>
      </c>
      <c r="B29" s="16" t="s">
        <v>14</v>
      </c>
      <c r="C29" s="16" t="s">
        <v>38</v>
      </c>
      <c r="D29" s="16" t="s">
        <v>39</v>
      </c>
      <c r="E29" s="17">
        <v>0</v>
      </c>
      <c r="F29" s="17">
        <v>1063.5600</v>
      </c>
      <c r="G29" s="17">
        <f ca="1">((G28 + F29) - E29)</f>
        <v>0</v>
      </c>
      <c r="H29" s="17">
        <v>1063.5600</v>
      </c>
      <c r="I29" s="17">
        <v>0</v>
      </c>
    </row>
    <row r="30" ht="10.95" customHeight="true" customFormat="true" s="9">
      <c r="A30" s="15">
        <v>46251</v>
      </c>
      <c r="B30" s="16" t="s">
        <v>14</v>
      </c>
      <c r="C30" s="16" t="s">
        <v>40</v>
      </c>
      <c r="D30" s="16" t="s">
        <v>41</v>
      </c>
      <c r="E30" s="17">
        <v>0</v>
      </c>
      <c r="F30" s="17">
        <v>137.8900</v>
      </c>
      <c r="G30" s="17">
        <f ca="1">((G29 + F30) - E30)</f>
        <v>0</v>
      </c>
      <c r="H30" s="17">
        <v>137.8900</v>
      </c>
      <c r="I30" s="17">
        <v>0</v>
      </c>
    </row>
    <row r="31" ht="10.95" customHeight="true" customFormat="true" s="9">
      <c r="A31" s="15">
        <v>46251</v>
      </c>
      <c r="B31" s="16" t="s">
        <v>14</v>
      </c>
      <c r="C31" s="16" t="s">
        <v>18</v>
      </c>
      <c r="D31" s="16" t="s">
        <v>42</v>
      </c>
      <c r="E31" s="17">
        <v>0</v>
      </c>
      <c r="F31" s="17">
        <v>148.5000</v>
      </c>
      <c r="G31" s="17">
        <f ca="1">((G30 + F31) - E31)</f>
        <v>0</v>
      </c>
      <c r="H31" s="17">
        <v>148.5000</v>
      </c>
      <c r="I31" s="17">
        <v>0</v>
      </c>
    </row>
    <row r="32" ht="10.95" customHeight="true" customFormat="true" s="9">
      <c r="A32" s="15">
        <v>46252</v>
      </c>
      <c r="B32" s="16" t="s">
        <v>14</v>
      </c>
      <c r="C32" s="16" t="s">
        <v>43</v>
      </c>
      <c r="D32" s="16"/>
      <c r="E32" s="17">
        <v>0</v>
      </c>
      <c r="F32" s="17">
        <v>450.0000</v>
      </c>
      <c r="G32" s="17">
        <f ca="1">((G31 + F32) - E32)</f>
        <v>0</v>
      </c>
      <c r="H32" s="17">
        <v>450.0000</v>
      </c>
      <c r="I32" s="17">
        <v>0</v>
      </c>
    </row>
    <row r="33" ht="10.95" customHeight="true" customFormat="true" s="9">
      <c r="A33" s="15">
        <v>46260</v>
      </c>
      <c r="B33" s="16" t="s">
        <v>14</v>
      </c>
      <c r="C33" s="16" t="s">
        <v>44</v>
      </c>
      <c r="D33" s="16"/>
      <c r="E33" s="17">
        <v>0</v>
      </c>
      <c r="F33" s="17">
        <v>104.5000</v>
      </c>
      <c r="G33" s="17">
        <f ca="1">((G32 + F33) - E33)</f>
        <v>0</v>
      </c>
      <c r="H33" s="17">
        <v>104.5000</v>
      </c>
      <c r="I33" s="17">
        <v>0</v>
      </c>
    </row>
    <row r="34" ht="10.95" customHeight="true" customFormat="true" s="9">
      <c r="A34" s="15">
        <v>46264</v>
      </c>
      <c r="B34" s="16" t="s">
        <v>14</v>
      </c>
      <c r="C34" s="16" t="s">
        <v>25</v>
      </c>
      <c r="D34" s="16" t="s">
        <v>45</v>
      </c>
      <c r="E34" s="17">
        <v>0</v>
      </c>
      <c r="F34" s="17">
        <v>324.5000</v>
      </c>
      <c r="G34" s="17">
        <f ca="1">((G33 + F34) - E34)</f>
        <v>0</v>
      </c>
      <c r="H34" s="17">
        <v>324.5000</v>
      </c>
      <c r="I34" s="17">
        <v>0</v>
      </c>
    </row>
    <row r="35" ht="10.95" customHeight="true" customFormat="true" s="9">
      <c r="A35" s="15">
        <v>46267</v>
      </c>
      <c r="B35" s="16" t="s">
        <v>16</v>
      </c>
      <c r="C35" s="16" t="s">
        <v>46</v>
      </c>
      <c r="D35" s="16"/>
      <c r="E35" s="17">
        <v>104.5000</v>
      </c>
      <c r="F35" s="17">
        <v>0</v>
      </c>
      <c r="G35" s="17">
        <f ca="1">((G34 + F35) - E35)</f>
        <v>0</v>
      </c>
      <c r="H35" s="17">
        <v>-104.5000</v>
      </c>
      <c r="I35" s="17">
        <v>0</v>
      </c>
    </row>
    <row r="36" ht="10.95" customHeight="true" customFormat="true" s="9">
      <c r="A36" s="15">
        <v>46267</v>
      </c>
      <c r="B36" s="16" t="s">
        <v>16</v>
      </c>
      <c r="C36" s="16" t="s">
        <v>47</v>
      </c>
      <c r="D36" s="16"/>
      <c r="E36" s="17">
        <v>250.0000</v>
      </c>
      <c r="F36" s="17">
        <v>0</v>
      </c>
      <c r="G36" s="17">
        <f ca="1">((G35 + F36) - E36)</f>
        <v>0</v>
      </c>
      <c r="H36" s="17">
        <v>-250.0000</v>
      </c>
      <c r="I36" s="17">
        <v>0</v>
      </c>
    </row>
    <row r="37" ht="10.95" customHeight="true" customFormat="true" s="9">
      <c r="A37" s="15">
        <v>46267</v>
      </c>
      <c r="B37" s="16" t="s">
        <v>16</v>
      </c>
      <c r="C37" s="16" t="s">
        <v>48</v>
      </c>
      <c r="D37" s="16"/>
      <c r="E37" s="17">
        <v>170.5000</v>
      </c>
      <c r="F37" s="17">
        <v>0</v>
      </c>
      <c r="G37" s="17">
        <f ca="1">((G36 + F37) - E37)</f>
        <v>0</v>
      </c>
      <c r="H37" s="17">
        <v>-170.5000</v>
      </c>
      <c r="I37" s="17">
        <v>0</v>
      </c>
    </row>
    <row r="38" ht="10.95" customHeight="true" customFormat="true" s="9">
      <c r="A38" s="15">
        <v>46267</v>
      </c>
      <c r="B38" s="16" t="s">
        <v>16</v>
      </c>
      <c r="C38" s="16" t="s">
        <v>49</v>
      </c>
      <c r="D38" s="16" t="s">
        <v>41</v>
      </c>
      <c r="E38" s="17">
        <v>137.8900</v>
      </c>
      <c r="F38" s="17">
        <v>0</v>
      </c>
      <c r="G38" s="17">
        <f ca="1">((G37 + F38) - E38)</f>
        <v>0</v>
      </c>
      <c r="H38" s="17">
        <v>-137.8900</v>
      </c>
      <c r="I38" s="17">
        <v>0</v>
      </c>
    </row>
    <row r="39" ht="10.95" customHeight="true" customFormat="true" s="9">
      <c r="A39" s="15">
        <v>46267</v>
      </c>
      <c r="B39" s="16" t="s">
        <v>32</v>
      </c>
      <c r="C39" s="16" t="s">
        <v>43</v>
      </c>
      <c r="D39" s="16"/>
      <c r="E39" s="17">
        <v>200.0000</v>
      </c>
      <c r="F39" s="17">
        <v>0</v>
      </c>
      <c r="G39" s="17">
        <f ca="1">((G38 + F39) - E39)</f>
        <v>0</v>
      </c>
      <c r="H39" s="17">
        <v>-200.0000</v>
      </c>
      <c r="I39" s="17">
        <v>0</v>
      </c>
    </row>
    <row r="40" ht="10.95" customHeight="true" customFormat="true" s="9">
      <c r="A40" s="15">
        <v>46267</v>
      </c>
      <c r="B40" s="16" t="s">
        <v>32</v>
      </c>
      <c r="C40" s="16" t="s">
        <v>43</v>
      </c>
      <c r="D40" s="16"/>
      <c r="E40" s="17">
        <v>0</v>
      </c>
      <c r="F40" s="17">
        <v>200.0000</v>
      </c>
      <c r="G40" s="17">
        <f ca="1">((G39 + F40) - E40)</f>
        <v>0</v>
      </c>
      <c r="H40" s="17">
        <v>200.0000</v>
      </c>
      <c r="I40" s="17">
        <v>0</v>
      </c>
    </row>
    <row r="41" ht="10.95" customHeight="true" customFormat="true" s="9">
      <c r="A41" s="15">
        <v>46268</v>
      </c>
      <c r="B41" s="16" t="s">
        <v>14</v>
      </c>
      <c r="C41" s="16" t="s">
        <v>29</v>
      </c>
      <c r="D41" s="16" t="s">
        <v>50</v>
      </c>
      <c r="E41" s="17">
        <v>0</v>
      </c>
      <c r="F41" s="17">
        <v>35.7500</v>
      </c>
      <c r="G41" s="17">
        <f ca="1">((G40 + F41) - E41)</f>
        <v>0</v>
      </c>
      <c r="H41" s="17">
        <v>35.7500</v>
      </c>
      <c r="I41" s="17">
        <v>0</v>
      </c>
    </row>
    <row r="42" ht="10.95" customHeight="true" customFormat="true" s="9">
      <c r="A42" s="15">
        <v>46270</v>
      </c>
      <c r="B42" s="16" t="s">
        <v>14</v>
      </c>
      <c r="C42" s="16" t="s">
        <v>33</v>
      </c>
      <c r="D42" s="16"/>
      <c r="E42" s="17">
        <v>0</v>
      </c>
      <c r="F42" s="17">
        <v>75.9000</v>
      </c>
      <c r="G42" s="17">
        <f ca="1">((G41 + F42) - E42)</f>
        <v>0</v>
      </c>
      <c r="H42" s="17">
        <v>75.9000</v>
      </c>
      <c r="I42" s="17">
        <v>0</v>
      </c>
    </row>
    <row r="43" ht="10.95" customHeight="true" customFormat="true" s="9">
      <c r="A43" s="15">
        <v>46270</v>
      </c>
      <c r="B43" s="16" t="s">
        <v>14</v>
      </c>
      <c r="C43" s="16" t="s">
        <v>51</v>
      </c>
      <c r="D43" s="16" t="s">
        <v>52</v>
      </c>
      <c r="E43" s="17">
        <v>0</v>
      </c>
      <c r="F43" s="17">
        <v>2000.0000</v>
      </c>
      <c r="G43" s="17">
        <f ca="1">((G42 + F43) - E43)</f>
        <v>0</v>
      </c>
      <c r="H43" s="17">
        <v>2000.0000</v>
      </c>
      <c r="I43" s="17">
        <v>0</v>
      </c>
    </row>
    <row r="44" ht="10.95" customHeight="true" customFormat="true" s="9">
      <c r="A44" s="15">
        <v>46278</v>
      </c>
      <c r="B44" s="16" t="s">
        <v>14</v>
      </c>
      <c r="C44" s="16" t="s">
        <v>37</v>
      </c>
      <c r="D44" s="16" t="s">
        <v>53</v>
      </c>
      <c r="E44" s="17">
        <v>0</v>
      </c>
      <c r="F44" s="17">
        <v>220.0000</v>
      </c>
      <c r="G44" s="17">
        <f ca="1">((G43 + F44) - E44)</f>
        <v>0</v>
      </c>
      <c r="H44" s="17">
        <v>220.0000</v>
      </c>
      <c r="I44" s="17">
        <v>0</v>
      </c>
    </row>
    <row r="45" ht="10.95" customHeight="true" customFormat="true" s="9">
      <c r="A45" s="15">
        <v>46281</v>
      </c>
      <c r="B45" s="16" t="s">
        <v>16</v>
      </c>
      <c r="C45" s="16" t="s">
        <v>54</v>
      </c>
      <c r="D45" s="16" t="s">
        <v>42</v>
      </c>
      <c r="E45" s="17">
        <v>148.5000</v>
      </c>
      <c r="F45" s="17">
        <v>0</v>
      </c>
      <c r="G45" s="17">
        <f ca="1">((G44 + F45) - E45)</f>
        <v>0</v>
      </c>
      <c r="H45" s="17">
        <v>-148.5000</v>
      </c>
      <c r="I45" s="17">
        <v>0</v>
      </c>
    </row>
    <row r="46" ht="10.95" customHeight="true" customFormat="true" s="9">
      <c r="A46" s="15">
        <v>46281</v>
      </c>
      <c r="B46" s="16" t="s">
        <v>16</v>
      </c>
      <c r="C46" s="16" t="s">
        <v>35</v>
      </c>
      <c r="D46" s="16" t="s">
        <v>50</v>
      </c>
      <c r="E46" s="17">
        <v>35.7500</v>
      </c>
      <c r="F46" s="17">
        <v>0</v>
      </c>
      <c r="G46" s="17">
        <f ca="1">((G45 + F46) - E46)</f>
        <v>0</v>
      </c>
      <c r="H46" s="17">
        <v>-35.7500</v>
      </c>
      <c r="I46" s="17">
        <v>0</v>
      </c>
    </row>
    <row r="47" ht="10.95" customHeight="true" customFormat="true" s="9">
      <c r="A47" s="15">
        <v>46281</v>
      </c>
      <c r="B47" s="16" t="s">
        <v>16</v>
      </c>
      <c r="C47" s="16" t="s">
        <v>34</v>
      </c>
      <c r="D47" s="16"/>
      <c r="E47" s="17">
        <v>75.9000</v>
      </c>
      <c r="F47" s="17">
        <v>0</v>
      </c>
      <c r="G47" s="17">
        <f ca="1">((G46 + F47) - E47)</f>
        <v>0</v>
      </c>
      <c r="H47" s="17">
        <v>-75.9000</v>
      </c>
      <c r="I47" s="17">
        <v>0</v>
      </c>
    </row>
    <row r="48" ht="10.95" customHeight="true" customFormat="true" s="9">
      <c r="A48" s="15">
        <v>46281</v>
      </c>
      <c r="B48" s="16" t="s">
        <v>14</v>
      </c>
      <c r="C48" s="16" t="s">
        <v>37</v>
      </c>
      <c r="D48" s="16"/>
      <c r="E48" s="17">
        <v>0</v>
      </c>
      <c r="F48" s="17">
        <v>170.5000</v>
      </c>
      <c r="G48" s="17">
        <f ca="1">((G47 + F48) - E48)</f>
        <v>0</v>
      </c>
      <c r="H48" s="17">
        <v>170.5000</v>
      </c>
      <c r="I48" s="17">
        <v>0</v>
      </c>
    </row>
    <row r="49" ht="10.95" customHeight="true" customFormat="true" s="9">
      <c r="A49" s="15">
        <v>46281</v>
      </c>
      <c r="B49" s="16" t="s">
        <v>16</v>
      </c>
      <c r="C49" s="16" t="s">
        <v>36</v>
      </c>
      <c r="D49" s="16" t="s">
        <v>45</v>
      </c>
      <c r="E49" s="17">
        <v>324.5000</v>
      </c>
      <c r="F49" s="17">
        <v>0</v>
      </c>
      <c r="G49" s="17">
        <f ca="1">((G48 + F49) - E49)</f>
        <v>0</v>
      </c>
      <c r="H49" s="17">
        <v>-324.5000</v>
      </c>
      <c r="I49" s="17">
        <v>0</v>
      </c>
    </row>
    <row r="50" ht="10.95" customHeight="true" customFormat="true" s="9">
      <c r="A50" s="15">
        <v>46281</v>
      </c>
      <c r="B50" s="16" t="s">
        <v>14</v>
      </c>
      <c r="C50" s="16" t="s">
        <v>55</v>
      </c>
      <c r="D50" s="16"/>
      <c r="E50" s="17">
        <v>0</v>
      </c>
      <c r="F50" s="17">
        <v>53.9000</v>
      </c>
      <c r="G50" s="17">
        <f ca="1">((G49 + F50) - E50)</f>
        <v>0</v>
      </c>
      <c r="H50" s="17">
        <v>53.9000</v>
      </c>
      <c r="I50" s="17">
        <v>0</v>
      </c>
    </row>
    <row r="51" ht="10.95" customHeight="true" customFormat="true" s="9">
      <c r="A51" s="15">
        <v>46282</v>
      </c>
      <c r="B51" s="16" t="s">
        <v>16</v>
      </c>
      <c r="C51" s="16" t="s">
        <v>56</v>
      </c>
      <c r="D51" s="16"/>
      <c r="E51" s="17">
        <v>53.9000</v>
      </c>
      <c r="F51" s="17">
        <v>0</v>
      </c>
      <c r="G51" s="17">
        <f ca="1">((G50 + F51) - E51)</f>
        <v>0</v>
      </c>
      <c r="H51" s="17">
        <v>-53.9000</v>
      </c>
      <c r="I51" s="17">
        <v>0</v>
      </c>
    </row>
    <row r="52" ht="10.95" customHeight="true" customFormat="true" s="9">
      <c r="A52" s="15">
        <v>46284</v>
      </c>
      <c r="B52" s="16" t="s">
        <v>27</v>
      </c>
      <c r="C52" s="16" t="s">
        <v>43</v>
      </c>
      <c r="D52" s="16"/>
      <c r="E52" s="17">
        <v>200.0000</v>
      </c>
      <c r="F52" s="17">
        <v>0</v>
      </c>
      <c r="G52" s="17">
        <f ca="1">((G51 + F52) - E52)</f>
        <v>0</v>
      </c>
      <c r="H52" s="17">
        <v>-200.0000</v>
      </c>
      <c r="I52" s="17">
        <v>0</v>
      </c>
    </row>
    <row r="53" ht="10.95" customHeight="true" customFormat="true" s="9">
      <c r="A53" s="15">
        <v>46285</v>
      </c>
      <c r="B53" s="16" t="s">
        <v>14</v>
      </c>
      <c r="C53" s="16" t="s">
        <v>37</v>
      </c>
      <c r="D53" s="16" t="s">
        <v>57</v>
      </c>
      <c r="E53" s="17">
        <v>0</v>
      </c>
      <c r="F53" s="17">
        <v>220.0000</v>
      </c>
      <c r="G53" s="17">
        <f ca="1">((G52 + F53) - E53)</f>
        <v>0</v>
      </c>
      <c r="H53" s="17">
        <v>220.0000</v>
      </c>
      <c r="I53" s="17">
        <v>0</v>
      </c>
    </row>
    <row r="54" ht="10.95" customHeight="true" customFormat="true" s="9">
      <c r="A54" s="15">
        <v>46292</v>
      </c>
      <c r="B54" s="16" t="s">
        <v>14</v>
      </c>
      <c r="C54" s="16" t="s">
        <v>37</v>
      </c>
      <c r="D54" s="16" t="s">
        <v>58</v>
      </c>
      <c r="E54" s="17">
        <v>0</v>
      </c>
      <c r="F54" s="17">
        <v>220.0000</v>
      </c>
      <c r="G54" s="17">
        <f ca="1">((G53 + F54) - E54)</f>
        <v>0</v>
      </c>
      <c r="H54" s="17">
        <v>220.0000</v>
      </c>
      <c r="I54" s="17">
        <v>0</v>
      </c>
    </row>
    <row r="55" ht="10.95" customHeight="true" customFormat="true" s="9">
      <c r="A55" s="15">
        <v>46293</v>
      </c>
      <c r="B55" s="16" t="s">
        <v>16</v>
      </c>
      <c r="C55" s="16" t="s">
        <v>59</v>
      </c>
      <c r="D55" s="16" t="s">
        <v>53</v>
      </c>
      <c r="E55" s="17">
        <v>220.0000</v>
      </c>
      <c r="F55" s="17">
        <v>0</v>
      </c>
      <c r="G55" s="17">
        <f ca="1">((G54 + F55) - E55)</f>
        <v>0</v>
      </c>
      <c r="H55" s="17">
        <v>-220.0000</v>
      </c>
      <c r="I55" s="17">
        <v>0</v>
      </c>
    </row>
    <row r="56" ht="10.95" customHeight="true" customFormat="true" s="9">
      <c r="A56" s="15">
        <v>46295</v>
      </c>
      <c r="B56" s="16" t="s">
        <v>14</v>
      </c>
      <c r="C56" s="16" t="s">
        <v>25</v>
      </c>
      <c r="D56" s="16" t="s">
        <v>60</v>
      </c>
      <c r="E56" s="17">
        <v>0</v>
      </c>
      <c r="F56" s="17">
        <v>331.1000</v>
      </c>
      <c r="G56" s="17">
        <f ca="1">((G55 + F56) - E56)</f>
        <v>0</v>
      </c>
      <c r="H56" s="17">
        <v>331.1000</v>
      </c>
      <c r="I56" s="17">
        <v>0</v>
      </c>
    </row>
    <row r="57" ht="10.95" customHeight="true" customFormat="true" s="9">
      <c r="A57" s="15">
        <v>46296</v>
      </c>
      <c r="B57" s="16" t="s">
        <v>14</v>
      </c>
      <c r="C57" s="16" t="s">
        <v>61</v>
      </c>
      <c r="D57" s="16" t="s">
        <v>62</v>
      </c>
      <c r="E57" s="17">
        <v>0</v>
      </c>
      <c r="F57" s="17">
        <v>1181.2500</v>
      </c>
      <c r="G57" s="17">
        <f ca="1">((G56 + F57) - E57)</f>
        <v>0</v>
      </c>
      <c r="H57" s="17">
        <v>1181.2500</v>
      </c>
      <c r="I57" s="17">
        <v>0</v>
      </c>
    </row>
    <row r="58" ht="10.95" customHeight="true" customFormat="true" s="9">
      <c r="A58" s="15">
        <v>46296</v>
      </c>
      <c r="B58" s="16" t="s">
        <v>16</v>
      </c>
      <c r="C58" s="16" t="s">
        <v>48</v>
      </c>
      <c r="D58" s="16"/>
      <c r="E58" s="17">
        <v>170.5000</v>
      </c>
      <c r="F58" s="17">
        <v>0</v>
      </c>
      <c r="G58" s="17">
        <f ca="1">((G57 + F58) - E58)</f>
        <v>0</v>
      </c>
      <c r="H58" s="17">
        <v>-170.5000</v>
      </c>
      <c r="I58" s="17">
        <v>0</v>
      </c>
    </row>
    <row r="59" ht="10.95" customHeight="true" customFormat="true" s="9">
      <c r="A59" s="15">
        <v>46299</v>
      </c>
      <c r="B59" s="16" t="s">
        <v>14</v>
      </c>
      <c r="C59" s="16" t="s">
        <v>29</v>
      </c>
      <c r="D59" s="16" t="s">
        <v>63</v>
      </c>
      <c r="E59" s="17">
        <v>0</v>
      </c>
      <c r="F59" s="17">
        <v>54.1300</v>
      </c>
      <c r="G59" s="17">
        <f ca="1">((G58 + F59) - E59)</f>
        <v>0</v>
      </c>
      <c r="H59" s="17">
        <v>54.1300</v>
      </c>
      <c r="I59" s="17">
        <v>0</v>
      </c>
    </row>
    <row r="60" ht="10.95" customHeight="true" customFormat="true" s="9">
      <c r="A60" s="15">
        <v>46299</v>
      </c>
      <c r="B60" s="16" t="s">
        <v>14</v>
      </c>
      <c r="C60" s="16" t="s">
        <v>64</v>
      </c>
      <c r="D60" s="16" t="s">
        <v>65</v>
      </c>
      <c r="E60" s="17">
        <v>0</v>
      </c>
      <c r="F60" s="17">
        <v>6930.0000</v>
      </c>
      <c r="G60" s="17">
        <f ca="1">((G59 + F60) - E60)</f>
        <v>0</v>
      </c>
      <c r="H60" s="17">
        <v>6930.0000</v>
      </c>
      <c r="I60" s="17">
        <v>0</v>
      </c>
    </row>
    <row r="61" ht="10.95" customHeight="true" customFormat="true" s="9">
      <c r="A61" s="15">
        <v>46299</v>
      </c>
      <c r="B61" s="16" t="s">
        <v>14</v>
      </c>
      <c r="C61" s="16" t="s">
        <v>37</v>
      </c>
      <c r="D61" s="16" t="s">
        <v>66</v>
      </c>
      <c r="E61" s="17">
        <v>0</v>
      </c>
      <c r="F61" s="17">
        <v>220.0000</v>
      </c>
      <c r="G61" s="17">
        <f ca="1">((G60 + F61) - E61)</f>
        <v>0</v>
      </c>
      <c r="H61" s="17">
        <v>220.0000</v>
      </c>
      <c r="I61" s="17">
        <v>0</v>
      </c>
    </row>
    <row r="62" ht="10.95" customHeight="true" customFormat="true" s="9">
      <c r="A62" s="15">
        <v>46300</v>
      </c>
      <c r="B62" s="16" t="s">
        <v>14</v>
      </c>
      <c r="C62" s="16" t="s">
        <v>25</v>
      </c>
      <c r="D62" s="16" t="s">
        <v>67</v>
      </c>
      <c r="E62" s="17">
        <v>0</v>
      </c>
      <c r="F62" s="17">
        <v>108.6000</v>
      </c>
      <c r="G62" s="17">
        <f ca="1">((G61 + F62) - E62)</f>
        <v>0</v>
      </c>
      <c r="H62" s="17">
        <v>108.6000</v>
      </c>
      <c r="I62" s="17">
        <v>0</v>
      </c>
    </row>
    <row r="63" ht="10.95" customHeight="true" customFormat="true" s="9">
      <c r="A63" s="15">
        <v>46301</v>
      </c>
      <c r="B63" s="16" t="s">
        <v>14</v>
      </c>
      <c r="C63" s="16" t="s">
        <v>33</v>
      </c>
      <c r="D63" s="16"/>
      <c r="E63" s="17">
        <v>0</v>
      </c>
      <c r="F63" s="17">
        <v>75.9000</v>
      </c>
      <c r="G63" s="17">
        <f ca="1">((G62 + F63) - E63)</f>
        <v>0</v>
      </c>
      <c r="H63" s="17">
        <v>75.9000</v>
      </c>
      <c r="I63" s="17">
        <v>0</v>
      </c>
    </row>
    <row r="64" ht="10.95" customHeight="true" customFormat="true" s="9">
      <c r="A64" s="15">
        <v>46301</v>
      </c>
      <c r="B64" s="16" t="s">
        <v>14</v>
      </c>
      <c r="C64" s="16" t="s">
        <v>51</v>
      </c>
      <c r="D64" s="16" t="s">
        <v>68</v>
      </c>
      <c r="E64" s="17">
        <v>0</v>
      </c>
      <c r="F64" s="17">
        <v>2500.0000</v>
      </c>
      <c r="G64" s="17">
        <f ca="1">((G63 + F64) - E64)</f>
        <v>0</v>
      </c>
      <c r="H64" s="17">
        <v>2500.0000</v>
      </c>
      <c r="I64" s="17">
        <v>0</v>
      </c>
    </row>
    <row r="65" ht="10.95" customHeight="true" customFormat="true" s="9">
      <c r="A65" s="15">
        <v>46301</v>
      </c>
      <c r="B65" s="16" t="s">
        <v>16</v>
      </c>
      <c r="C65" s="16" t="s">
        <v>59</v>
      </c>
      <c r="D65" s="16" t="s">
        <v>57</v>
      </c>
      <c r="E65" s="17">
        <v>220.0000</v>
      </c>
      <c r="F65" s="17">
        <v>0</v>
      </c>
      <c r="G65" s="17">
        <f ca="1">((G64 + F65) - E65)</f>
        <v>0</v>
      </c>
      <c r="H65" s="17">
        <v>-220.0000</v>
      </c>
      <c r="I65" s="17">
        <v>0</v>
      </c>
    </row>
    <row r="66" ht="10.95" customHeight="true" customFormat="true" s="9">
      <c r="A66" s="15">
        <v>46303</v>
      </c>
      <c r="B66" s="16" t="s">
        <v>16</v>
      </c>
      <c r="C66" s="16" t="s">
        <v>59</v>
      </c>
      <c r="D66" s="16" t="s">
        <v>58</v>
      </c>
      <c r="E66" s="17">
        <v>220.0000</v>
      </c>
      <c r="F66" s="17">
        <v>0</v>
      </c>
      <c r="G66" s="17">
        <f ca="1">((G65 + F66) - E66)</f>
        <v>0</v>
      </c>
      <c r="H66" s="17">
        <v>-220.0000</v>
      </c>
      <c r="I66" s="17">
        <v>0</v>
      </c>
    </row>
    <row r="67" ht="10.95" customHeight="true" customFormat="true" s="9">
      <c r="A67" s="15">
        <v>46306</v>
      </c>
      <c r="B67" s="16" t="s">
        <v>14</v>
      </c>
      <c r="C67" s="16" t="s">
        <v>69</v>
      </c>
      <c r="D67" s="16"/>
      <c r="E67" s="17">
        <v>0</v>
      </c>
      <c r="F67" s="17">
        <v>130.0000</v>
      </c>
      <c r="G67" s="17">
        <f ca="1">((G66 + F67) - E67)</f>
        <v>0</v>
      </c>
      <c r="H67" s="17">
        <v>130.0000</v>
      </c>
      <c r="I67" s="17">
        <v>0</v>
      </c>
    </row>
    <row r="68" ht="10.95" customHeight="true" customFormat="true" s="9">
      <c r="A68" s="15">
        <v>46306</v>
      </c>
      <c r="B68" s="16" t="s">
        <v>16</v>
      </c>
      <c r="C68" s="16" t="s">
        <v>70</v>
      </c>
      <c r="D68" s="16" t="s">
        <v>62</v>
      </c>
      <c r="E68" s="17">
        <v>1181.2500</v>
      </c>
      <c r="F68" s="17">
        <v>0</v>
      </c>
      <c r="G68" s="17">
        <f ca="1">((G67 + F68) - E68)</f>
        <v>0</v>
      </c>
      <c r="H68" s="17">
        <v>-1181.2500</v>
      </c>
      <c r="I68" s="17">
        <v>0</v>
      </c>
    </row>
    <row r="69" ht="10.95" customHeight="true" customFormat="true" s="9">
      <c r="A69" s="15">
        <v>46306</v>
      </c>
      <c r="B69" s="16" t="s">
        <v>14</v>
      </c>
      <c r="C69" s="16" t="s">
        <v>37</v>
      </c>
      <c r="D69" s="16"/>
      <c r="E69" s="17">
        <v>0</v>
      </c>
      <c r="F69" s="17">
        <v>170.5000</v>
      </c>
      <c r="G69" s="17">
        <f ca="1">((G68 + F69) - E69)</f>
        <v>0</v>
      </c>
      <c r="H69" s="17">
        <v>170.5000</v>
      </c>
      <c r="I69" s="17">
        <v>0</v>
      </c>
    </row>
    <row r="70" ht="10.95" customHeight="true" customFormat="true" s="9">
      <c r="A70" s="15">
        <v>46306</v>
      </c>
      <c r="B70" s="16" t="s">
        <v>14</v>
      </c>
      <c r="C70" s="16" t="s">
        <v>24</v>
      </c>
      <c r="D70" s="16"/>
      <c r="E70" s="17">
        <v>0</v>
      </c>
      <c r="F70" s="17">
        <v>2166.9900</v>
      </c>
      <c r="G70" s="17">
        <f ca="1">((G69 + F70) - E70)</f>
        <v>0</v>
      </c>
      <c r="H70" s="17">
        <v>2166.9900</v>
      </c>
      <c r="I70" s="17">
        <v>0</v>
      </c>
    </row>
    <row r="71" ht="10.95" customHeight="true" customFormat="true" s="9">
      <c r="A71" s="15">
        <v>46306</v>
      </c>
      <c r="B71" s="16" t="s">
        <v>14</v>
      </c>
      <c r="C71" s="16" t="s">
        <v>37</v>
      </c>
      <c r="D71" s="16" t="s">
        <v>71</v>
      </c>
      <c r="E71" s="17">
        <v>0</v>
      </c>
      <c r="F71" s="17">
        <v>220.0000</v>
      </c>
      <c r="G71" s="17">
        <f ca="1">((G70 + F71) - E71)</f>
        <v>0</v>
      </c>
      <c r="H71" s="17">
        <v>220.0000</v>
      </c>
      <c r="I71" s="17">
        <v>0</v>
      </c>
    </row>
    <row r="72" ht="10.95" customHeight="true" customFormat="true" s="9">
      <c r="A72" s="15">
        <v>46307</v>
      </c>
      <c r="B72" s="16" t="s">
        <v>16</v>
      </c>
      <c r="C72" s="16" t="s">
        <v>72</v>
      </c>
      <c r="D72" s="16"/>
      <c r="E72" s="17">
        <v>411.3500</v>
      </c>
      <c r="F72" s="17">
        <v>0</v>
      </c>
      <c r="G72" s="17">
        <f ca="1">((G71 + F72) - E72)</f>
        <v>0</v>
      </c>
      <c r="H72" s="17">
        <v>-411.3500</v>
      </c>
      <c r="I72" s="17">
        <v>0</v>
      </c>
    </row>
    <row r="73" ht="10.95" customHeight="true" customFormat="true" s="9">
      <c r="A73" s="15">
        <v>46307</v>
      </c>
      <c r="B73" s="16" t="s">
        <v>14</v>
      </c>
      <c r="C73" s="16" t="s">
        <v>73</v>
      </c>
      <c r="D73" s="16"/>
      <c r="E73" s="17">
        <v>0</v>
      </c>
      <c r="F73" s="17">
        <v>411.3500</v>
      </c>
      <c r="G73" s="17">
        <f ca="1">((G72 + F73) - E73)</f>
        <v>0</v>
      </c>
      <c r="H73" s="17">
        <v>411.3500</v>
      </c>
      <c r="I73" s="17">
        <v>0</v>
      </c>
    </row>
    <row r="74" ht="10.95" customHeight="true" customFormat="true" s="9">
      <c r="A74" s="15">
        <v>46307</v>
      </c>
      <c r="B74" s="16" t="s">
        <v>16</v>
      </c>
      <c r="C74" s="16" t="s">
        <v>59</v>
      </c>
      <c r="D74" s="16" t="s">
        <v>66</v>
      </c>
      <c r="E74" s="17">
        <v>220.0000</v>
      </c>
      <c r="F74" s="17">
        <v>0</v>
      </c>
      <c r="G74" s="17">
        <f ca="1">((G73 + F74) - E74)</f>
        <v>0</v>
      </c>
      <c r="H74" s="17">
        <v>-220.0000</v>
      </c>
      <c r="I74" s="17">
        <v>0</v>
      </c>
    </row>
    <row r="75" ht="10.95" customHeight="true" customFormat="true" s="9">
      <c r="A75" s="15">
        <v>46309</v>
      </c>
      <c r="B75" s="16" t="s">
        <v>16</v>
      </c>
      <c r="C75" s="16" t="s">
        <v>36</v>
      </c>
      <c r="D75" s="16" t="s">
        <v>60</v>
      </c>
      <c r="E75" s="17">
        <v>331.1000</v>
      </c>
      <c r="F75" s="17">
        <v>0</v>
      </c>
      <c r="G75" s="17">
        <f ca="1">((G74 + F75) - E75)</f>
        <v>0</v>
      </c>
      <c r="H75" s="17">
        <v>-331.1000</v>
      </c>
      <c r="I75" s="17">
        <v>0</v>
      </c>
    </row>
    <row r="76" ht="10.95" customHeight="true" customFormat="true" s="9">
      <c r="A76" s="15">
        <v>46309</v>
      </c>
      <c r="B76" s="16" t="s">
        <v>16</v>
      </c>
      <c r="C76" s="16" t="s">
        <v>74</v>
      </c>
      <c r="D76" s="16" t="s">
        <v>39</v>
      </c>
      <c r="E76" s="17">
        <v>900.0000</v>
      </c>
      <c r="F76" s="17">
        <v>0</v>
      </c>
      <c r="G76" s="17">
        <f ca="1">((G75 + F76) - E76)</f>
        <v>0</v>
      </c>
      <c r="H76" s="17">
        <v>-900.0000</v>
      </c>
      <c r="I76" s="17">
        <v>0</v>
      </c>
    </row>
    <row r="77" ht="10.95" customHeight="true" customFormat="true" s="9">
      <c r="A77" s="15">
        <v>46310</v>
      </c>
      <c r="B77" s="16" t="s">
        <v>16</v>
      </c>
      <c r="C77" s="16" t="s">
        <v>75</v>
      </c>
      <c r="D77" s="16" t="s">
        <v>65</v>
      </c>
      <c r="E77" s="17">
        <v>6930.0000</v>
      </c>
      <c r="F77" s="17">
        <v>0</v>
      </c>
      <c r="G77" s="17">
        <f ca="1">((G76 + F77) - E77)</f>
        <v>0</v>
      </c>
      <c r="H77" s="17">
        <v>-6930.0000</v>
      </c>
      <c r="I77" s="17">
        <v>0</v>
      </c>
    </row>
    <row r="78" ht="10.95" customHeight="true" customFormat="true" s="9">
      <c r="A78" s="15">
        <v>46311</v>
      </c>
      <c r="B78" s="16" t="s">
        <v>16</v>
      </c>
      <c r="C78" s="16" t="s">
        <v>56</v>
      </c>
      <c r="D78" s="16"/>
      <c r="E78" s="17">
        <v>53.9000</v>
      </c>
      <c r="F78" s="17">
        <v>0</v>
      </c>
      <c r="G78" s="17">
        <f ca="1">((G77 + F78) - E78)</f>
        <v>0</v>
      </c>
      <c r="H78" s="17">
        <v>-53.9000</v>
      </c>
      <c r="I78" s="17">
        <v>0</v>
      </c>
    </row>
    <row r="79" ht="10.95" customHeight="true" customFormat="true" s="9">
      <c r="A79" s="15">
        <v>46311</v>
      </c>
      <c r="B79" s="16" t="s">
        <v>14</v>
      </c>
      <c r="C79" s="16" t="s">
        <v>55</v>
      </c>
      <c r="D79" s="16"/>
      <c r="E79" s="17">
        <v>0</v>
      </c>
      <c r="F79" s="17">
        <v>53.9000</v>
      </c>
      <c r="G79" s="17">
        <f ca="1">((G78 + F79) - E79)</f>
        <v>0</v>
      </c>
      <c r="H79" s="17">
        <v>53.9000</v>
      </c>
      <c r="I79" s="17">
        <v>0</v>
      </c>
    </row>
    <row r="80" ht="10.95" customHeight="true" customFormat="true" s="9">
      <c r="A80" s="15">
        <v>46311</v>
      </c>
      <c r="B80" s="16" t="s">
        <v>14</v>
      </c>
      <c r="C80" s="16" t="s">
        <v>76</v>
      </c>
      <c r="D80" s="16" t="s">
        <v>77</v>
      </c>
      <c r="E80" s="17">
        <v>0</v>
      </c>
      <c r="F80" s="17">
        <v>840.0000</v>
      </c>
      <c r="G80" s="17">
        <f ca="1">((G79 + F80) - E80)</f>
        <v>0</v>
      </c>
      <c r="H80" s="17">
        <v>840.0000</v>
      </c>
      <c r="I80" s="17">
        <v>0</v>
      </c>
    </row>
    <row r="81" ht="10.95" customHeight="true" customFormat="true" s="9">
      <c r="A81" s="15">
        <v>46311</v>
      </c>
      <c r="B81" s="16" t="s">
        <v>16</v>
      </c>
      <c r="C81" s="16" t="s">
        <v>34</v>
      </c>
      <c r="D81" s="16"/>
      <c r="E81" s="17">
        <v>75.9000</v>
      </c>
      <c r="F81" s="17">
        <v>0</v>
      </c>
      <c r="G81" s="17">
        <f ca="1">((G80 + F81) - E81)</f>
        <v>0</v>
      </c>
      <c r="H81" s="17">
        <v>-75.9000</v>
      </c>
      <c r="I81" s="17">
        <v>0</v>
      </c>
    </row>
    <row r="82" ht="10.95" customHeight="true" customFormat="true" s="9">
      <c r="A82" s="15">
        <v>46312</v>
      </c>
      <c r="B82" s="16" t="s">
        <v>14</v>
      </c>
      <c r="C82" s="16" t="s">
        <v>78</v>
      </c>
      <c r="D82" s="16" t="s">
        <v>79</v>
      </c>
      <c r="E82" s="17">
        <v>0</v>
      </c>
      <c r="F82" s="17">
        <v>132.0000</v>
      </c>
      <c r="G82" s="17">
        <f ca="1">((G81 + F82) - E82)</f>
        <v>0</v>
      </c>
      <c r="H82" s="17">
        <v>132.0000</v>
      </c>
      <c r="I82" s="17">
        <v>0</v>
      </c>
    </row>
    <row r="83" ht="10.95" customHeight="true" customFormat="true" s="9">
      <c r="A83" s="15">
        <v>46312</v>
      </c>
      <c r="B83" s="16" t="s">
        <v>14</v>
      </c>
      <c r="C83" s="16" t="s">
        <v>80</v>
      </c>
      <c r="D83" s="16" t="s">
        <v>81</v>
      </c>
      <c r="E83" s="17">
        <v>0</v>
      </c>
      <c r="F83" s="17">
        <v>242.0000</v>
      </c>
      <c r="G83" s="17">
        <f ca="1">((G82 + F83) - E83)</f>
        <v>0</v>
      </c>
      <c r="H83" s="17">
        <v>242.0000</v>
      </c>
      <c r="I83" s="17">
        <v>0</v>
      </c>
    </row>
    <row r="84" ht="10.95" customHeight="true" customFormat="true" s="9">
      <c r="A84" s="15">
        <v>46312</v>
      </c>
      <c r="B84" s="16" t="s">
        <v>16</v>
      </c>
      <c r="C84" s="16" t="s">
        <v>59</v>
      </c>
      <c r="D84" s="16" t="s">
        <v>71</v>
      </c>
      <c r="E84" s="17">
        <v>220.0000</v>
      </c>
      <c r="F84" s="17">
        <v>0</v>
      </c>
      <c r="G84" s="17">
        <f ca="1">((G83 + F84) - E84)</f>
        <v>0</v>
      </c>
      <c r="H84" s="17">
        <v>-220.0000</v>
      </c>
      <c r="I84" s="17">
        <v>0</v>
      </c>
    </row>
    <row r="85" ht="10.95" customHeight="true" customFormat="true" s="9">
      <c r="A85" s="18" t="s">
        <v>82</v>
      </c>
      <c r="B85" s="18"/>
      <c r="C85" s="18"/>
      <c r="D85" s="18"/>
      <c r="E85" s="19">
        <f ca="1">SUM(E9:E84)</f>
        <v>0</v>
      </c>
      <c r="F85" s="19">
        <f ca="1">SUM(F9:F84)</f>
        <v>0</v>
      </c>
      <c r="G85" s="19">
        <f ca="1">G84</f>
        <v>0</v>
      </c>
      <c r="H85" s="19">
        <f ca="1">SUM(H9:H84)</f>
        <v>0</v>
      </c>
      <c r="I85" s="19">
        <f ca="1">SUM(I9:I84)</f>
        <v>0</v>
      </c>
    </row>
    <row r="86" ht="10.95" customHeight="true" customFormat="true" s="9">
      <c r="A86" s="10" t="s">
        <v>83</v>
      </c>
      <c r="B86" s="10"/>
      <c r="C86" s="10"/>
      <c r="D86" s="10"/>
      <c r="E86" s="11">
        <v>0</v>
      </c>
      <c r="F86" s="11">
        <v>8507.7800</v>
      </c>
      <c r="G86" s="11">
        <f ca="1">G84</f>
        <v>0</v>
      </c>
      <c r="H86" s="11">
        <v>0</v>
      </c>
      <c r="I86" s="11">
        <v>0</v>
      </c>
    </row>
    <row r="87" ht="13.35" customHeight="true"/>
    <row r="88" ht="12.1" customHeight="true" customFormat="true" s="5">
      <c r="A88" s="8" t="s">
        <v>84</v>
      </c>
      <c r="B88" s="8"/>
      <c r="C88" s="8"/>
      <c r="D88" s="8"/>
      <c r="E88" s="8"/>
      <c r="F88" s="8"/>
      <c r="G88" s="8"/>
      <c r="H88" s="8"/>
      <c r="I88" s="8"/>
    </row>
    <row r="89" ht="10.95" customHeight="true" customFormat="true" s="9">
      <c r="A89" s="10" t="s">
        <v>13</v>
      </c>
      <c r="B89" s="10"/>
      <c r="C89" s="10"/>
      <c r="D89" s="10"/>
      <c r="E89" s="11">
        <v>0</v>
      </c>
      <c r="F89" s="11">
        <v>0</v>
      </c>
      <c r="G89" s="11">
        <f ca="1">(E89 - F89)</f>
        <v>0</v>
      </c>
      <c r="H89" s="11">
        <v>0</v>
      </c>
      <c r="I89" s="11">
        <v>0</v>
      </c>
    </row>
    <row r="90" ht="10.95" customHeight="true" customFormat="true" s="9">
      <c r="A90" s="12">
        <v>45885</v>
      </c>
      <c r="B90" s="13" t="s">
        <v>85</v>
      </c>
      <c r="C90" s="13" t="s">
        <v>86</v>
      </c>
      <c r="D90" s="13" t="s">
        <v>87</v>
      </c>
      <c r="E90" s="14">
        <v>4620.0000</v>
      </c>
      <c r="F90" s="14">
        <v>0</v>
      </c>
      <c r="G90" s="14">
        <f ca="1">((G89 + E90) - F90)</f>
        <v>0</v>
      </c>
      <c r="H90" s="14">
        <v>4620.0000</v>
      </c>
      <c r="I90" s="14">
        <v>0</v>
      </c>
    </row>
    <row r="91" ht="10.95" customHeight="true" customFormat="true" s="9">
      <c r="A91" s="15">
        <v>45946</v>
      </c>
      <c r="B91" s="16" t="s">
        <v>88</v>
      </c>
      <c r="C91" s="16" t="s">
        <v>89</v>
      </c>
      <c r="D91" s="16" t="s">
        <v>87</v>
      </c>
      <c r="E91" s="17">
        <v>0</v>
      </c>
      <c r="F91" s="17">
        <v>4620.0000</v>
      </c>
      <c r="G91" s="17">
        <f ca="1">((G90 + E91) - F91)</f>
        <v>0</v>
      </c>
      <c r="H91" s="17">
        <v>-4620.0000</v>
      </c>
      <c r="I91" s="17">
        <v>0</v>
      </c>
    </row>
    <row r="92" ht="10.95" customHeight="true" customFormat="true" s="9">
      <c r="A92" s="15">
        <v>46220</v>
      </c>
      <c r="B92" s="16" t="s">
        <v>85</v>
      </c>
      <c r="C92" s="16" t="s">
        <v>90</v>
      </c>
      <c r="D92" s="16" t="s">
        <v>91</v>
      </c>
      <c r="E92" s="17">
        <v>550.0000</v>
      </c>
      <c r="F92" s="17">
        <v>0</v>
      </c>
      <c r="G92" s="17">
        <f ca="1">((G91 + E92) - F92)</f>
        <v>0</v>
      </c>
      <c r="H92" s="17">
        <v>550.0000</v>
      </c>
      <c r="I92" s="17">
        <v>0</v>
      </c>
    </row>
    <row r="93" ht="10.95" customHeight="true" customFormat="true" s="9">
      <c r="A93" s="15">
        <v>46220</v>
      </c>
      <c r="B93" s="16" t="s">
        <v>85</v>
      </c>
      <c r="C93" s="16" t="s">
        <v>92</v>
      </c>
      <c r="D93" s="16" t="s">
        <v>91</v>
      </c>
      <c r="E93" s="17">
        <v>550.0000</v>
      </c>
      <c r="F93" s="17">
        <v>0</v>
      </c>
      <c r="G93" s="17">
        <f ca="1">((G92 + E93) - F93)</f>
        <v>0</v>
      </c>
      <c r="H93" s="17">
        <v>550.0000</v>
      </c>
      <c r="I93" s="17">
        <v>0</v>
      </c>
    </row>
    <row r="94" ht="10.95" customHeight="true" customFormat="true" s="9">
      <c r="A94" s="15">
        <v>46220</v>
      </c>
      <c r="B94" s="16" t="s">
        <v>85</v>
      </c>
      <c r="C94" s="16" t="s">
        <v>93</v>
      </c>
      <c r="D94" s="16" t="s">
        <v>94</v>
      </c>
      <c r="E94" s="17">
        <v>550.0000</v>
      </c>
      <c r="F94" s="17">
        <v>0</v>
      </c>
      <c r="G94" s="17">
        <f ca="1">((G93 + E94) - F94)</f>
        <v>0</v>
      </c>
      <c r="H94" s="17">
        <v>550.0000</v>
      </c>
      <c r="I94" s="17">
        <v>0</v>
      </c>
    </row>
    <row r="95" ht="10.95" customHeight="true" customFormat="true" s="9">
      <c r="A95" s="15">
        <v>46220</v>
      </c>
      <c r="B95" s="16" t="s">
        <v>85</v>
      </c>
      <c r="C95" s="16" t="s">
        <v>95</v>
      </c>
      <c r="D95" s="16" t="s">
        <v>91</v>
      </c>
      <c r="E95" s="17">
        <v>550.0000</v>
      </c>
      <c r="F95" s="17">
        <v>0</v>
      </c>
      <c r="G95" s="17">
        <f ca="1">((G94 + E95) - F95)</f>
        <v>0</v>
      </c>
      <c r="H95" s="17">
        <v>550.0000</v>
      </c>
      <c r="I95" s="17">
        <v>0</v>
      </c>
    </row>
    <row r="96" ht="10.95" customHeight="true" customFormat="true" s="9">
      <c r="A96" s="15">
        <v>46220</v>
      </c>
      <c r="B96" s="16" t="s">
        <v>85</v>
      </c>
      <c r="C96" s="16" t="s">
        <v>93</v>
      </c>
      <c r="D96" s="16" t="s">
        <v>91</v>
      </c>
      <c r="E96" s="17">
        <v>550.0000</v>
      </c>
      <c r="F96" s="17">
        <v>0</v>
      </c>
      <c r="G96" s="17">
        <f ca="1">((G95 + E96) - F96)</f>
        <v>0</v>
      </c>
      <c r="H96" s="17">
        <v>550.0000</v>
      </c>
      <c r="I96" s="17">
        <v>0</v>
      </c>
    </row>
    <row r="97" ht="10.95" customHeight="true" customFormat="true" s="9">
      <c r="A97" s="15">
        <v>46226</v>
      </c>
      <c r="B97" s="16" t="s">
        <v>85</v>
      </c>
      <c r="C97" s="16" t="s">
        <v>96</v>
      </c>
      <c r="D97" s="16" t="s">
        <v>97</v>
      </c>
      <c r="E97" s="17">
        <v>1485.0000</v>
      </c>
      <c r="F97" s="17">
        <v>0</v>
      </c>
      <c r="G97" s="17">
        <f ca="1">((G96 + E97) - F97)</f>
        <v>0</v>
      </c>
      <c r="H97" s="17">
        <v>1485.0000</v>
      </c>
      <c r="I97" s="17">
        <v>0</v>
      </c>
    </row>
    <row r="98" ht="10.95" customHeight="true" customFormat="true" s="9">
      <c r="A98" s="15">
        <v>46229</v>
      </c>
      <c r="B98" s="16" t="s">
        <v>98</v>
      </c>
      <c r="C98" s="16" t="s">
        <v>93</v>
      </c>
      <c r="D98" s="16" t="s">
        <v>99</v>
      </c>
      <c r="E98" s="17">
        <v>0</v>
      </c>
      <c r="F98" s="17">
        <v>550.0000</v>
      </c>
      <c r="G98" s="17">
        <f ca="1">((G97 + E98) - F98)</f>
        <v>0</v>
      </c>
      <c r="H98" s="17">
        <v>-550.0000</v>
      </c>
      <c r="I98" s="17">
        <v>0</v>
      </c>
    </row>
    <row r="99" ht="10.95" customHeight="true" customFormat="true" s="9">
      <c r="A99" s="15">
        <v>46229</v>
      </c>
      <c r="B99" s="16" t="s">
        <v>100</v>
      </c>
      <c r="C99" s="16" t="s">
        <v>93</v>
      </c>
      <c r="D99" s="16" t="s">
        <v>99</v>
      </c>
      <c r="E99" s="17">
        <v>0</v>
      </c>
      <c r="F99" s="17">
        <v>550.0000</v>
      </c>
      <c r="G99" s="17">
        <f ca="1">((G98 + E99) - F99)</f>
        <v>0</v>
      </c>
      <c r="H99" s="17">
        <v>-550.0000</v>
      </c>
      <c r="I99" s="17">
        <v>0</v>
      </c>
    </row>
    <row r="100" ht="10.95" customHeight="true" customFormat="true" s="9">
      <c r="A100" s="15">
        <v>46229</v>
      </c>
      <c r="B100" s="16" t="s">
        <v>100</v>
      </c>
      <c r="C100" s="16" t="s">
        <v>93</v>
      </c>
      <c r="D100" s="16" t="s">
        <v>99</v>
      </c>
      <c r="E100" s="17">
        <v>550.0000</v>
      </c>
      <c r="F100" s="17">
        <v>0</v>
      </c>
      <c r="G100" s="17">
        <f ca="1">((G99 + E100) - F100)</f>
        <v>0</v>
      </c>
      <c r="H100" s="17">
        <v>550.0000</v>
      </c>
      <c r="I100" s="17">
        <v>0</v>
      </c>
    </row>
    <row r="101" ht="10.95" customHeight="true" customFormat="true" s="9">
      <c r="A101" s="15">
        <v>46229</v>
      </c>
      <c r="B101" s="16" t="s">
        <v>85</v>
      </c>
      <c r="C101" s="16" t="s">
        <v>101</v>
      </c>
      <c r="D101" s="16" t="s">
        <v>102</v>
      </c>
      <c r="E101" s="17">
        <v>1100.0000</v>
      </c>
      <c r="F101" s="17">
        <v>0</v>
      </c>
      <c r="G101" s="17">
        <f ca="1">((G100 + E101) - F101)</f>
        <v>0</v>
      </c>
      <c r="H101" s="17">
        <v>1100.0000</v>
      </c>
      <c r="I101" s="17">
        <v>0</v>
      </c>
    </row>
    <row r="102" ht="10.95" customHeight="true" customFormat="true" s="9">
      <c r="A102" s="15">
        <v>46229</v>
      </c>
      <c r="B102" s="16" t="s">
        <v>88</v>
      </c>
      <c r="C102" s="16" t="s">
        <v>103</v>
      </c>
      <c r="D102" s="16" t="s">
        <v>91</v>
      </c>
      <c r="E102" s="17">
        <v>0</v>
      </c>
      <c r="F102" s="17">
        <v>550.0000</v>
      </c>
      <c r="G102" s="17">
        <f ca="1">((G101 + E102) - F102)</f>
        <v>0</v>
      </c>
      <c r="H102" s="17">
        <v>-550.0000</v>
      </c>
      <c r="I102" s="17">
        <v>0</v>
      </c>
    </row>
    <row r="103" ht="10.95" customHeight="true" customFormat="true" s="9">
      <c r="A103" s="15">
        <v>46229</v>
      </c>
      <c r="B103" s="16" t="s">
        <v>88</v>
      </c>
      <c r="C103" s="16" t="s">
        <v>104</v>
      </c>
      <c r="D103" s="16" t="s">
        <v>91</v>
      </c>
      <c r="E103" s="17">
        <v>0</v>
      </c>
      <c r="F103" s="17">
        <v>550.0000</v>
      </c>
      <c r="G103" s="17">
        <f ca="1">((G102 + E103) - F103)</f>
        <v>0</v>
      </c>
      <c r="H103" s="17">
        <v>-550.0000</v>
      </c>
      <c r="I103" s="17">
        <v>0</v>
      </c>
    </row>
    <row r="104" ht="10.95" customHeight="true" customFormat="true" s="9">
      <c r="A104" s="15">
        <v>46229</v>
      </c>
      <c r="B104" s="16" t="s">
        <v>88</v>
      </c>
      <c r="C104" s="16" t="s">
        <v>105</v>
      </c>
      <c r="D104" s="16" t="s">
        <v>91</v>
      </c>
      <c r="E104" s="17">
        <v>0</v>
      </c>
      <c r="F104" s="17">
        <v>550.0000</v>
      </c>
      <c r="G104" s="17">
        <f ca="1">((G103 + E104) - F104)</f>
        <v>0</v>
      </c>
      <c r="H104" s="17">
        <v>-550.0000</v>
      </c>
      <c r="I104" s="17">
        <v>0</v>
      </c>
    </row>
    <row r="105" ht="10.95" customHeight="true" customFormat="true" s="9">
      <c r="A105" s="15">
        <v>46229</v>
      </c>
      <c r="B105" s="16" t="s">
        <v>88</v>
      </c>
      <c r="C105" s="16" t="s">
        <v>106</v>
      </c>
      <c r="D105" s="16" t="s">
        <v>91</v>
      </c>
      <c r="E105" s="17">
        <v>0</v>
      </c>
      <c r="F105" s="17">
        <v>550.0000</v>
      </c>
      <c r="G105" s="17">
        <f ca="1">((G104 + E105) - F105)</f>
        <v>0</v>
      </c>
      <c r="H105" s="17">
        <v>-550.0000</v>
      </c>
      <c r="I105" s="17">
        <v>0</v>
      </c>
    </row>
    <row r="106" ht="10.95" customHeight="true" customFormat="true" s="9">
      <c r="A106" s="15">
        <v>46233</v>
      </c>
      <c r="B106" s="16" t="s">
        <v>85</v>
      </c>
      <c r="C106" s="16" t="s">
        <v>107</v>
      </c>
      <c r="D106" s="16" t="s">
        <v>108</v>
      </c>
      <c r="E106" s="17">
        <v>275.0000</v>
      </c>
      <c r="F106" s="17">
        <v>0</v>
      </c>
      <c r="G106" s="17">
        <f ca="1">((G105 + E106) - F106)</f>
        <v>0</v>
      </c>
      <c r="H106" s="17">
        <v>275.0000</v>
      </c>
      <c r="I106" s="17">
        <v>0</v>
      </c>
    </row>
    <row r="107" ht="10.95" customHeight="true" customFormat="true" s="9">
      <c r="A107" s="15">
        <v>46234</v>
      </c>
      <c r="B107" s="16" t="s">
        <v>98</v>
      </c>
      <c r="C107" s="16" t="s">
        <v>96</v>
      </c>
      <c r="D107" s="16" t="s">
        <v>109</v>
      </c>
      <c r="E107" s="17">
        <v>0</v>
      </c>
      <c r="F107" s="17">
        <v>550.0000</v>
      </c>
      <c r="G107" s="17">
        <f ca="1">((G106 + E107) - F107)</f>
        <v>0</v>
      </c>
      <c r="H107" s="17">
        <v>-550.0000</v>
      </c>
      <c r="I107" s="17">
        <v>0</v>
      </c>
    </row>
    <row r="108" ht="10.95" customHeight="true" customFormat="true" s="9">
      <c r="A108" s="15">
        <v>46234</v>
      </c>
      <c r="B108" s="16" t="s">
        <v>85</v>
      </c>
      <c r="C108" s="16" t="s">
        <v>96</v>
      </c>
      <c r="D108" s="16" t="s">
        <v>110</v>
      </c>
      <c r="E108" s="17">
        <v>550.0000</v>
      </c>
      <c r="F108" s="17">
        <v>0</v>
      </c>
      <c r="G108" s="17">
        <f ca="1">((G107 + E108) - F108)</f>
        <v>0</v>
      </c>
      <c r="H108" s="17">
        <v>550.0000</v>
      </c>
      <c r="I108" s="17">
        <v>0</v>
      </c>
    </row>
    <row r="109" ht="10.95" customHeight="true" customFormat="true" s="9">
      <c r="A109" s="15">
        <v>46234</v>
      </c>
      <c r="B109" s="16" t="s">
        <v>100</v>
      </c>
      <c r="C109" s="16" t="s">
        <v>96</v>
      </c>
      <c r="D109" s="16" t="s">
        <v>109</v>
      </c>
      <c r="E109" s="17">
        <v>550.0000</v>
      </c>
      <c r="F109" s="17">
        <v>0</v>
      </c>
      <c r="G109" s="17">
        <f ca="1">((G108 + E109) - F109)</f>
        <v>0</v>
      </c>
      <c r="H109" s="17">
        <v>550.0000</v>
      </c>
      <c r="I109" s="17">
        <v>0</v>
      </c>
    </row>
    <row r="110" ht="10.95" customHeight="true" customFormat="true" s="9">
      <c r="A110" s="15">
        <v>46234</v>
      </c>
      <c r="B110" s="16" t="s">
        <v>100</v>
      </c>
      <c r="C110" s="16" t="s">
        <v>96</v>
      </c>
      <c r="D110" s="16" t="s">
        <v>109</v>
      </c>
      <c r="E110" s="17">
        <v>0</v>
      </c>
      <c r="F110" s="17">
        <v>550.0000</v>
      </c>
      <c r="G110" s="17">
        <f ca="1">((G109 + E110) - F110)</f>
        <v>0</v>
      </c>
      <c r="H110" s="17">
        <v>-550.0000</v>
      </c>
      <c r="I110" s="17">
        <v>0</v>
      </c>
    </row>
    <row r="111" ht="10.95" customHeight="true" customFormat="true" s="9">
      <c r="A111" s="15">
        <v>46239</v>
      </c>
      <c r="B111" s="16" t="s">
        <v>85</v>
      </c>
      <c r="C111" s="16" t="s">
        <v>111</v>
      </c>
      <c r="D111" s="16" t="s">
        <v>112</v>
      </c>
      <c r="E111" s="17">
        <v>6160.0000</v>
      </c>
      <c r="F111" s="17">
        <v>0</v>
      </c>
      <c r="G111" s="17">
        <f ca="1">((G110 + E111) - F111)</f>
        <v>0</v>
      </c>
      <c r="H111" s="17">
        <v>6160.0000</v>
      </c>
      <c r="I111" s="17">
        <v>0</v>
      </c>
    </row>
    <row r="112" ht="10.95" customHeight="true" customFormat="true" s="9">
      <c r="A112" s="15">
        <v>46239</v>
      </c>
      <c r="B112" s="16" t="s">
        <v>88</v>
      </c>
      <c r="C112" s="16" t="s">
        <v>113</v>
      </c>
      <c r="D112" s="16" t="s">
        <v>97</v>
      </c>
      <c r="E112" s="17">
        <v>0</v>
      </c>
      <c r="F112" s="17">
        <v>1485.0000</v>
      </c>
      <c r="G112" s="17">
        <f ca="1">((G111 + E112) - F112)</f>
        <v>0</v>
      </c>
      <c r="H112" s="17">
        <v>-1485.0000</v>
      </c>
      <c r="I112" s="17">
        <v>0</v>
      </c>
    </row>
    <row r="113" ht="10.95" customHeight="true" customFormat="true" s="9">
      <c r="A113" s="15">
        <v>46239</v>
      </c>
      <c r="B113" s="16" t="s">
        <v>88</v>
      </c>
      <c r="C113" s="16" t="s">
        <v>114</v>
      </c>
      <c r="D113" s="16" t="s">
        <v>108</v>
      </c>
      <c r="E113" s="17">
        <v>0</v>
      </c>
      <c r="F113" s="17">
        <v>275.0000</v>
      </c>
      <c r="G113" s="17">
        <f ca="1">((G112 + E113) - F113)</f>
        <v>0</v>
      </c>
      <c r="H113" s="17">
        <v>-275.0000</v>
      </c>
      <c r="I113" s="17">
        <v>0</v>
      </c>
    </row>
    <row r="114" ht="10.95" customHeight="true" customFormat="true" s="9">
      <c r="A114" s="15">
        <v>46239</v>
      </c>
      <c r="B114" s="16" t="s">
        <v>85</v>
      </c>
      <c r="C114" s="16" t="s">
        <v>115</v>
      </c>
      <c r="D114" s="16" t="s">
        <v>116</v>
      </c>
      <c r="E114" s="17">
        <v>1155.0000</v>
      </c>
      <c r="F114" s="17">
        <v>0</v>
      </c>
      <c r="G114" s="17">
        <f ca="1">((G113 + E114) - F114)</f>
        <v>0</v>
      </c>
      <c r="H114" s="17">
        <v>1155.0000</v>
      </c>
      <c r="I114" s="17">
        <v>0</v>
      </c>
    </row>
    <row r="115" ht="10.95" customHeight="true" customFormat="true" s="9">
      <c r="A115" s="15">
        <v>46239</v>
      </c>
      <c r="B115" s="16" t="s">
        <v>85</v>
      </c>
      <c r="C115" s="16" t="s">
        <v>15</v>
      </c>
      <c r="D115" s="16" t="s">
        <v>117</v>
      </c>
      <c r="E115" s="17">
        <v>1496.0000</v>
      </c>
      <c r="F115" s="17">
        <v>0</v>
      </c>
      <c r="G115" s="17">
        <f ca="1">((G114 + E115) - F115)</f>
        <v>0</v>
      </c>
      <c r="H115" s="17">
        <v>1496.0000</v>
      </c>
      <c r="I115" s="17">
        <v>0</v>
      </c>
    </row>
    <row r="116" ht="10.95" customHeight="true" customFormat="true" s="9">
      <c r="A116" s="15">
        <v>46239</v>
      </c>
      <c r="B116" s="16" t="s">
        <v>88</v>
      </c>
      <c r="C116" s="16" t="s">
        <v>118</v>
      </c>
      <c r="D116" s="16" t="s">
        <v>102</v>
      </c>
      <c r="E116" s="17">
        <v>0</v>
      </c>
      <c r="F116" s="17">
        <v>850.0000</v>
      </c>
      <c r="G116" s="17">
        <f ca="1">((G115 + E116) - F116)</f>
        <v>0</v>
      </c>
      <c r="H116" s="17">
        <v>-850.0000</v>
      </c>
      <c r="I116" s="17">
        <v>0</v>
      </c>
    </row>
    <row r="117" ht="10.95" customHeight="true" customFormat="true" s="9">
      <c r="A117" s="15">
        <v>46244</v>
      </c>
      <c r="B117" s="16" t="s">
        <v>88</v>
      </c>
      <c r="C117" s="16" t="s">
        <v>119</v>
      </c>
      <c r="D117" s="16" t="s">
        <v>116</v>
      </c>
      <c r="E117" s="17">
        <v>0</v>
      </c>
      <c r="F117" s="17">
        <v>1155.0000</v>
      </c>
      <c r="G117" s="17">
        <f ca="1">((G116 + E117) - F117)</f>
        <v>0</v>
      </c>
      <c r="H117" s="17">
        <v>-1155.0000</v>
      </c>
      <c r="I117" s="17">
        <v>0</v>
      </c>
    </row>
    <row r="118" ht="10.95" customHeight="true" customFormat="true" s="9">
      <c r="A118" s="15">
        <v>46249</v>
      </c>
      <c r="B118" s="16" t="s">
        <v>98</v>
      </c>
      <c r="C118" s="16" t="s">
        <v>15</v>
      </c>
      <c r="D118" s="16" t="s">
        <v>117</v>
      </c>
      <c r="E118" s="17">
        <v>0</v>
      </c>
      <c r="F118" s="17">
        <v>26.4000</v>
      </c>
      <c r="G118" s="17">
        <f ca="1">((G117 + E118) - F118)</f>
        <v>0</v>
      </c>
      <c r="H118" s="17">
        <v>-26.4000</v>
      </c>
      <c r="I118" s="17">
        <v>0</v>
      </c>
    </row>
    <row r="119" ht="10.95" customHeight="true" customFormat="true" s="9">
      <c r="A119" s="15">
        <v>46249</v>
      </c>
      <c r="B119" s="16" t="s">
        <v>85</v>
      </c>
      <c r="C119" s="16" t="s">
        <v>101</v>
      </c>
      <c r="D119" s="16" t="s">
        <v>120</v>
      </c>
      <c r="E119" s="17">
        <v>660.0000</v>
      </c>
      <c r="F119" s="17">
        <v>0</v>
      </c>
      <c r="G119" s="17">
        <f ca="1">((G118 + E119) - F119)</f>
        <v>0</v>
      </c>
      <c r="H119" s="17">
        <v>660.0000</v>
      </c>
      <c r="I119" s="17">
        <v>0</v>
      </c>
    </row>
    <row r="120" ht="10.95" customHeight="true" customFormat="true" s="9">
      <c r="A120" s="15">
        <v>46250</v>
      </c>
      <c r="B120" s="16" t="s">
        <v>88</v>
      </c>
      <c r="C120" s="16" t="s">
        <v>121</v>
      </c>
      <c r="D120" s="16" t="s">
        <v>112</v>
      </c>
      <c r="E120" s="17">
        <v>0</v>
      </c>
      <c r="F120" s="17">
        <v>6160.0000</v>
      </c>
      <c r="G120" s="17">
        <f ca="1">((G119 + E120) - F120)</f>
        <v>0</v>
      </c>
      <c r="H120" s="17">
        <v>-6160.0000</v>
      </c>
      <c r="I120" s="17">
        <v>0</v>
      </c>
    </row>
    <row r="121" ht="10.95" customHeight="true" customFormat="true" s="9">
      <c r="A121" s="15">
        <v>46251</v>
      </c>
      <c r="B121" s="16" t="s">
        <v>100</v>
      </c>
      <c r="C121" s="16" t="s">
        <v>15</v>
      </c>
      <c r="D121" s="16" t="s">
        <v>117</v>
      </c>
      <c r="E121" s="17">
        <v>0</v>
      </c>
      <c r="F121" s="17">
        <v>26.4000</v>
      </c>
      <c r="G121" s="17">
        <f ca="1">((G120 + E121) - F121)</f>
        <v>0</v>
      </c>
      <c r="H121" s="17">
        <v>-26.4000</v>
      </c>
      <c r="I121" s="17">
        <v>0</v>
      </c>
    </row>
    <row r="122" ht="10.95" customHeight="true" customFormat="true" s="9">
      <c r="A122" s="15">
        <v>46251</v>
      </c>
      <c r="B122" s="16" t="s">
        <v>100</v>
      </c>
      <c r="C122" s="16" t="s">
        <v>15</v>
      </c>
      <c r="D122" s="16" t="s">
        <v>117</v>
      </c>
      <c r="E122" s="17">
        <v>26.4000</v>
      </c>
      <c r="F122" s="17">
        <v>0</v>
      </c>
      <c r="G122" s="17">
        <f ca="1">((G121 + E122) - F122)</f>
        <v>0</v>
      </c>
      <c r="H122" s="17">
        <v>26.4000</v>
      </c>
      <c r="I122" s="17">
        <v>0</v>
      </c>
    </row>
    <row r="123" ht="10.95" customHeight="true" customFormat="true" s="9">
      <c r="A123" s="15">
        <v>46251</v>
      </c>
      <c r="B123" s="16" t="s">
        <v>88</v>
      </c>
      <c r="C123" s="16" t="s">
        <v>17</v>
      </c>
      <c r="D123" s="16" t="s">
        <v>117</v>
      </c>
      <c r="E123" s="17">
        <v>0</v>
      </c>
      <c r="F123" s="17">
        <v>1469.6000</v>
      </c>
      <c r="G123" s="17">
        <f ca="1">((G122 + E123) - F123)</f>
        <v>0</v>
      </c>
      <c r="H123" s="17">
        <v>-1469.6000</v>
      </c>
      <c r="I123" s="17">
        <v>0</v>
      </c>
    </row>
    <row r="124" ht="10.95" customHeight="true" customFormat="true" s="9">
      <c r="A124" s="15">
        <v>46251</v>
      </c>
      <c r="B124" s="16" t="s">
        <v>85</v>
      </c>
      <c r="C124" s="16" t="s">
        <v>92</v>
      </c>
      <c r="D124" s="16" t="s">
        <v>91</v>
      </c>
      <c r="E124" s="17">
        <v>550.0000</v>
      </c>
      <c r="F124" s="17">
        <v>0</v>
      </c>
      <c r="G124" s="17">
        <f ca="1">((G123 + E124) - F124)</f>
        <v>0</v>
      </c>
      <c r="H124" s="17">
        <v>550.0000</v>
      </c>
      <c r="I124" s="17">
        <v>0</v>
      </c>
    </row>
    <row r="125" ht="10.95" customHeight="true" customFormat="true" s="9">
      <c r="A125" s="15">
        <v>46251</v>
      </c>
      <c r="B125" s="16" t="s">
        <v>85</v>
      </c>
      <c r="C125" s="16" t="s">
        <v>95</v>
      </c>
      <c r="D125" s="16" t="s">
        <v>91</v>
      </c>
      <c r="E125" s="17">
        <v>550.0000</v>
      </c>
      <c r="F125" s="17">
        <v>0</v>
      </c>
      <c r="G125" s="17">
        <f ca="1">((G124 + E125) - F125)</f>
        <v>0</v>
      </c>
      <c r="H125" s="17">
        <v>550.0000</v>
      </c>
      <c r="I125" s="17">
        <v>0</v>
      </c>
    </row>
    <row r="126" ht="10.95" customHeight="true" customFormat="true" s="9">
      <c r="A126" s="15">
        <v>46251</v>
      </c>
      <c r="B126" s="16" t="s">
        <v>85</v>
      </c>
      <c r="C126" s="16" t="s">
        <v>90</v>
      </c>
      <c r="D126" s="16" t="s">
        <v>91</v>
      </c>
      <c r="E126" s="17">
        <v>550.0000</v>
      </c>
      <c r="F126" s="17">
        <v>0</v>
      </c>
      <c r="G126" s="17">
        <f ca="1">((G125 + E126) - F126)</f>
        <v>0</v>
      </c>
      <c r="H126" s="17">
        <v>550.0000</v>
      </c>
      <c r="I126" s="17">
        <v>0</v>
      </c>
    </row>
    <row r="127" ht="10.95" customHeight="true" customFormat="true" s="9">
      <c r="A127" s="15">
        <v>46251</v>
      </c>
      <c r="B127" s="16" t="s">
        <v>85</v>
      </c>
      <c r="C127" s="16" t="s">
        <v>93</v>
      </c>
      <c r="D127" s="16" t="s">
        <v>91</v>
      </c>
      <c r="E127" s="17">
        <v>550.0000</v>
      </c>
      <c r="F127" s="17">
        <v>0</v>
      </c>
      <c r="G127" s="17">
        <f ca="1">((G126 + E127) - F127)</f>
        <v>0</v>
      </c>
      <c r="H127" s="17">
        <v>550.0000</v>
      </c>
      <c r="I127" s="17">
        <v>0</v>
      </c>
    </row>
    <row r="128" ht="10.95" customHeight="true" customFormat="true" s="9">
      <c r="A128" s="15">
        <v>46254</v>
      </c>
      <c r="B128" s="16" t="s">
        <v>85</v>
      </c>
      <c r="C128" s="16" t="s">
        <v>122</v>
      </c>
      <c r="D128" s="16" t="s">
        <v>123</v>
      </c>
      <c r="E128" s="17">
        <v>3575.0000</v>
      </c>
      <c r="F128" s="17">
        <v>0</v>
      </c>
      <c r="G128" s="17">
        <f ca="1">((G127 + E128) - F128)</f>
        <v>0</v>
      </c>
      <c r="H128" s="17">
        <v>3575.0000</v>
      </c>
      <c r="I128" s="17">
        <v>0</v>
      </c>
    </row>
    <row r="129" ht="10.95" customHeight="true" customFormat="true" s="9">
      <c r="A129" s="15">
        <v>46260</v>
      </c>
      <c r="B129" s="16" t="s">
        <v>88</v>
      </c>
      <c r="C129" s="16" t="s">
        <v>124</v>
      </c>
      <c r="D129" s="16" t="s">
        <v>91</v>
      </c>
      <c r="E129" s="17">
        <v>0</v>
      </c>
      <c r="F129" s="17">
        <v>550.0000</v>
      </c>
      <c r="G129" s="17">
        <f ca="1">((G128 + E129) - F129)</f>
        <v>0</v>
      </c>
      <c r="H129" s="17">
        <v>-550.0000</v>
      </c>
      <c r="I129" s="17">
        <v>0</v>
      </c>
    </row>
    <row r="130" ht="10.95" customHeight="true" customFormat="true" s="9">
      <c r="A130" s="15">
        <v>46260</v>
      </c>
      <c r="B130" s="16" t="s">
        <v>85</v>
      </c>
      <c r="C130" s="16" t="s">
        <v>86</v>
      </c>
      <c r="D130" s="16" t="s">
        <v>125</v>
      </c>
      <c r="E130" s="17">
        <v>4620.0000</v>
      </c>
      <c r="F130" s="17">
        <v>0</v>
      </c>
      <c r="G130" s="17">
        <f ca="1">((G129 + E130) - F130)</f>
        <v>0</v>
      </c>
      <c r="H130" s="17">
        <v>4620.0000</v>
      </c>
      <c r="I130" s="17">
        <v>0</v>
      </c>
    </row>
    <row r="131" ht="10.95" customHeight="true" customFormat="true" s="9">
      <c r="A131" s="15">
        <v>46260</v>
      </c>
      <c r="B131" s="16" t="s">
        <v>88</v>
      </c>
      <c r="C131" s="16" t="s">
        <v>126</v>
      </c>
      <c r="D131" s="16" t="s">
        <v>91</v>
      </c>
      <c r="E131" s="17">
        <v>0</v>
      </c>
      <c r="F131" s="17">
        <v>550.0000</v>
      </c>
      <c r="G131" s="17">
        <f ca="1">((G130 + E131) - F131)</f>
        <v>0</v>
      </c>
      <c r="H131" s="17">
        <v>-550.0000</v>
      </c>
      <c r="I131" s="17">
        <v>0</v>
      </c>
    </row>
    <row r="132" ht="10.95" customHeight="true" customFormat="true" s="9">
      <c r="A132" s="15">
        <v>46260</v>
      </c>
      <c r="B132" s="16" t="s">
        <v>88</v>
      </c>
      <c r="C132" s="16" t="s">
        <v>127</v>
      </c>
      <c r="D132" s="16" t="s">
        <v>91</v>
      </c>
      <c r="E132" s="17">
        <v>0</v>
      </c>
      <c r="F132" s="17">
        <v>550.0000</v>
      </c>
      <c r="G132" s="17">
        <f ca="1">((G131 + E132) - F132)</f>
        <v>0</v>
      </c>
      <c r="H132" s="17">
        <v>-550.0000</v>
      </c>
      <c r="I132" s="17">
        <v>0</v>
      </c>
    </row>
    <row r="133" ht="10.95" customHeight="true" customFormat="true" s="9">
      <c r="A133" s="15">
        <v>46260</v>
      </c>
      <c r="B133" s="16" t="s">
        <v>88</v>
      </c>
      <c r="C133" s="16" t="s">
        <v>128</v>
      </c>
      <c r="D133" s="16" t="s">
        <v>91</v>
      </c>
      <c r="E133" s="17">
        <v>0</v>
      </c>
      <c r="F133" s="17">
        <v>550.0000</v>
      </c>
      <c r="G133" s="17">
        <f ca="1">((G132 + E133) - F133)</f>
        <v>0</v>
      </c>
      <c r="H133" s="17">
        <v>-550.0000</v>
      </c>
      <c r="I133" s="17">
        <v>0</v>
      </c>
    </row>
    <row r="134" ht="10.95" customHeight="true" customFormat="true" s="9">
      <c r="A134" s="15">
        <v>46268</v>
      </c>
      <c r="B134" s="16" t="s">
        <v>98</v>
      </c>
      <c r="C134" s="16" t="s">
        <v>86</v>
      </c>
      <c r="D134" s="16" t="s">
        <v>125</v>
      </c>
      <c r="E134" s="17">
        <v>0</v>
      </c>
      <c r="F134" s="17">
        <v>385.0000</v>
      </c>
      <c r="G134" s="17">
        <f ca="1">((G133 + E134) - F134)</f>
        <v>0</v>
      </c>
      <c r="H134" s="17">
        <v>-385.0000</v>
      </c>
      <c r="I134" s="17">
        <v>0</v>
      </c>
    </row>
    <row r="135" ht="10.95" customHeight="true" customFormat="true" s="9">
      <c r="A135" s="15">
        <v>46270</v>
      </c>
      <c r="B135" s="16" t="s">
        <v>88</v>
      </c>
      <c r="C135" s="16" t="s">
        <v>89</v>
      </c>
      <c r="D135" s="16" t="s">
        <v>125</v>
      </c>
      <c r="E135" s="17">
        <v>0</v>
      </c>
      <c r="F135" s="17">
        <v>2500.0000</v>
      </c>
      <c r="G135" s="17">
        <f ca="1">((G134 + E135) - F135)</f>
        <v>0</v>
      </c>
      <c r="H135" s="17">
        <v>-2500.0000</v>
      </c>
      <c r="I135" s="17">
        <v>0</v>
      </c>
    </row>
    <row r="136" ht="10.95" customHeight="true" customFormat="true" s="9">
      <c r="A136" s="15">
        <v>46270</v>
      </c>
      <c r="B136" s="16" t="s">
        <v>85</v>
      </c>
      <c r="C136" s="16" t="s">
        <v>129</v>
      </c>
      <c r="D136" s="16" t="s">
        <v>130</v>
      </c>
      <c r="E136" s="17">
        <v>1320.0000</v>
      </c>
      <c r="F136" s="17">
        <v>0</v>
      </c>
      <c r="G136" s="17">
        <f ca="1">((G135 + E136) - F136)</f>
        <v>0</v>
      </c>
      <c r="H136" s="17">
        <v>1320.0000</v>
      </c>
      <c r="I136" s="17">
        <v>0</v>
      </c>
    </row>
    <row r="137" ht="10.95" customHeight="true" customFormat="true" s="9">
      <c r="A137" s="15">
        <v>46270</v>
      </c>
      <c r="B137" s="16" t="s">
        <v>100</v>
      </c>
      <c r="C137" s="16" t="s">
        <v>86</v>
      </c>
      <c r="D137" s="16" t="s">
        <v>125</v>
      </c>
      <c r="E137" s="17">
        <v>0</v>
      </c>
      <c r="F137" s="17">
        <v>227.2700</v>
      </c>
      <c r="G137" s="17">
        <f ca="1">((G136 + E137) - F137)</f>
        <v>0</v>
      </c>
      <c r="H137" s="17">
        <v>-227.2700</v>
      </c>
      <c r="I137" s="17">
        <v>0</v>
      </c>
    </row>
    <row r="138" ht="10.95" customHeight="true" customFormat="true" s="9">
      <c r="A138" s="15">
        <v>46270</v>
      </c>
      <c r="B138" s="16" t="s">
        <v>100</v>
      </c>
      <c r="C138" s="16" t="s">
        <v>86</v>
      </c>
      <c r="D138" s="16" t="s">
        <v>125</v>
      </c>
      <c r="E138" s="17">
        <v>227.2700</v>
      </c>
      <c r="F138" s="17">
        <v>0</v>
      </c>
      <c r="G138" s="17">
        <f ca="1">((G137 + E138) - F138)</f>
        <v>0</v>
      </c>
      <c r="H138" s="17">
        <v>227.2700</v>
      </c>
      <c r="I138" s="17">
        <v>0</v>
      </c>
    </row>
    <row r="139" ht="10.95" customHeight="true" customFormat="true" s="9">
      <c r="A139" s="15">
        <v>46280</v>
      </c>
      <c r="B139" s="16" t="s">
        <v>98</v>
      </c>
      <c r="C139" s="16" t="s">
        <v>101</v>
      </c>
      <c r="D139" s="16" t="s">
        <v>131</v>
      </c>
      <c r="E139" s="17">
        <v>0</v>
      </c>
      <c r="F139" s="17">
        <v>60.5000</v>
      </c>
      <c r="G139" s="17">
        <f ca="1">((G138 + E139) - F139)</f>
        <v>0</v>
      </c>
      <c r="H139" s="17">
        <v>-60.5000</v>
      </c>
      <c r="I139" s="17">
        <v>0</v>
      </c>
    </row>
    <row r="140" ht="10.95" customHeight="true" customFormat="true" s="9">
      <c r="A140" s="15">
        <v>46281</v>
      </c>
      <c r="B140" s="16" t="s">
        <v>85</v>
      </c>
      <c r="C140" s="16" t="s">
        <v>132</v>
      </c>
      <c r="D140" s="16" t="s">
        <v>133</v>
      </c>
      <c r="E140" s="17">
        <v>550.0000</v>
      </c>
      <c r="F140" s="17">
        <v>0</v>
      </c>
      <c r="G140" s="17">
        <f ca="1">((G139 + E140) - F140)</f>
        <v>0</v>
      </c>
      <c r="H140" s="17">
        <v>550.0000</v>
      </c>
      <c r="I140" s="17">
        <v>0</v>
      </c>
    </row>
    <row r="141" ht="10.95" customHeight="true" customFormat="true" s="9">
      <c r="A141" s="15">
        <v>46281</v>
      </c>
      <c r="B141" s="16" t="s">
        <v>88</v>
      </c>
      <c r="C141" s="16" t="s">
        <v>89</v>
      </c>
      <c r="D141" s="16" t="s">
        <v>125</v>
      </c>
      <c r="E141" s="17">
        <v>0</v>
      </c>
      <c r="F141" s="17">
        <v>1735.0000</v>
      </c>
      <c r="G141" s="17">
        <f ca="1">((G140 + E141) - F141)</f>
        <v>0</v>
      </c>
      <c r="H141" s="17">
        <v>-1735.0000</v>
      </c>
      <c r="I141" s="17">
        <v>0</v>
      </c>
    </row>
    <row r="142" ht="10.95" customHeight="true" customFormat="true" s="9">
      <c r="A142" s="15">
        <v>46281</v>
      </c>
      <c r="B142" s="16" t="s">
        <v>88</v>
      </c>
      <c r="C142" s="16" t="s">
        <v>134</v>
      </c>
      <c r="D142" s="16" t="s">
        <v>130</v>
      </c>
      <c r="E142" s="17">
        <v>0</v>
      </c>
      <c r="F142" s="17">
        <v>1320.0000</v>
      </c>
      <c r="G142" s="17">
        <f ca="1">((G141 + E142) - F142)</f>
        <v>0</v>
      </c>
      <c r="H142" s="17">
        <v>-1320.0000</v>
      </c>
      <c r="I142" s="17">
        <v>0</v>
      </c>
    </row>
    <row r="143" ht="10.95" customHeight="true" customFormat="true" s="9">
      <c r="A143" s="15">
        <v>46281</v>
      </c>
      <c r="B143" s="16" t="s">
        <v>88</v>
      </c>
      <c r="C143" s="16" t="s">
        <v>135</v>
      </c>
      <c r="D143" s="16" t="s">
        <v>123</v>
      </c>
      <c r="E143" s="17">
        <v>0</v>
      </c>
      <c r="F143" s="17">
        <v>3575.0000</v>
      </c>
      <c r="G143" s="17">
        <f ca="1">((G142 + E143) - F143)</f>
        <v>0</v>
      </c>
      <c r="H143" s="17">
        <v>-3575.0000</v>
      </c>
      <c r="I143" s="17">
        <v>0</v>
      </c>
    </row>
    <row r="144" ht="10.95" customHeight="true" customFormat="true" s="9">
      <c r="A144" s="15">
        <v>46281</v>
      </c>
      <c r="B144" s="16" t="s">
        <v>100</v>
      </c>
      <c r="C144" s="16" t="s">
        <v>86</v>
      </c>
      <c r="D144" s="16" t="s">
        <v>125</v>
      </c>
      <c r="E144" s="17">
        <v>0</v>
      </c>
      <c r="F144" s="17">
        <v>157.7300</v>
      </c>
      <c r="G144" s="17">
        <f ca="1">((G143 + E144) - F144)</f>
        <v>0</v>
      </c>
      <c r="H144" s="17">
        <v>-157.7300</v>
      </c>
      <c r="I144" s="17">
        <v>0</v>
      </c>
    </row>
    <row r="145" ht="10.95" customHeight="true" customFormat="true" s="9">
      <c r="A145" s="15">
        <v>46281</v>
      </c>
      <c r="B145" s="16" t="s">
        <v>100</v>
      </c>
      <c r="C145" s="16" t="s">
        <v>86</v>
      </c>
      <c r="D145" s="16" t="s">
        <v>125</v>
      </c>
      <c r="E145" s="17">
        <v>157.7300</v>
      </c>
      <c r="F145" s="17">
        <v>0</v>
      </c>
      <c r="G145" s="17">
        <f ca="1">((G144 + E145) - F145)</f>
        <v>0</v>
      </c>
      <c r="H145" s="17">
        <v>157.7300</v>
      </c>
      <c r="I145" s="17">
        <v>0</v>
      </c>
    </row>
    <row r="146" ht="10.95" customHeight="true" customFormat="true" s="9">
      <c r="A146" s="15">
        <v>46282</v>
      </c>
      <c r="B146" s="16" t="s">
        <v>85</v>
      </c>
      <c r="C146" s="16" t="s">
        <v>93</v>
      </c>
      <c r="D146" s="16" t="s">
        <v>91</v>
      </c>
      <c r="E146" s="17">
        <v>550.0000</v>
      </c>
      <c r="F146" s="17">
        <v>0</v>
      </c>
      <c r="G146" s="17">
        <f ca="1">((G145 + E146) - F146)</f>
        <v>0</v>
      </c>
      <c r="H146" s="17">
        <v>550.0000</v>
      </c>
      <c r="I146" s="17">
        <v>0</v>
      </c>
    </row>
    <row r="147" ht="10.95" customHeight="true" customFormat="true" s="9">
      <c r="A147" s="15">
        <v>46282</v>
      </c>
      <c r="B147" s="16" t="s">
        <v>85</v>
      </c>
      <c r="C147" s="16" t="s">
        <v>15</v>
      </c>
      <c r="D147" s="16" t="s">
        <v>117</v>
      </c>
      <c r="E147" s="17">
        <v>7150.0000</v>
      </c>
      <c r="F147" s="17">
        <v>0</v>
      </c>
      <c r="G147" s="17">
        <f ca="1">((G146 + E147) - F147)</f>
        <v>0</v>
      </c>
      <c r="H147" s="17">
        <v>7150.0000</v>
      </c>
      <c r="I147" s="17">
        <v>0</v>
      </c>
    </row>
    <row r="148" ht="10.95" customHeight="true" customFormat="true" s="9">
      <c r="A148" s="15">
        <v>46282</v>
      </c>
      <c r="B148" s="16" t="s">
        <v>85</v>
      </c>
      <c r="C148" s="16" t="s">
        <v>90</v>
      </c>
      <c r="D148" s="16" t="s">
        <v>91</v>
      </c>
      <c r="E148" s="17">
        <v>550.0000</v>
      </c>
      <c r="F148" s="17">
        <v>0</v>
      </c>
      <c r="G148" s="17">
        <f ca="1">((G147 + E148) - F148)</f>
        <v>0</v>
      </c>
      <c r="H148" s="17">
        <v>550.0000</v>
      </c>
      <c r="I148" s="17">
        <v>0</v>
      </c>
    </row>
    <row r="149" ht="10.95" customHeight="true" customFormat="true" s="9">
      <c r="A149" s="15">
        <v>46282</v>
      </c>
      <c r="B149" s="16" t="s">
        <v>85</v>
      </c>
      <c r="C149" s="16" t="s">
        <v>92</v>
      </c>
      <c r="D149" s="16" t="s">
        <v>91</v>
      </c>
      <c r="E149" s="17">
        <v>550.0000</v>
      </c>
      <c r="F149" s="17">
        <v>0</v>
      </c>
      <c r="G149" s="17">
        <f ca="1">((G148 + E149) - F149)</f>
        <v>0</v>
      </c>
      <c r="H149" s="17">
        <v>550.0000</v>
      </c>
      <c r="I149" s="17">
        <v>0</v>
      </c>
    </row>
    <row r="150" ht="10.95" customHeight="true" customFormat="true" s="9">
      <c r="A150" s="15">
        <v>46282</v>
      </c>
      <c r="B150" s="16" t="s">
        <v>85</v>
      </c>
      <c r="C150" s="16" t="s">
        <v>95</v>
      </c>
      <c r="D150" s="16" t="s">
        <v>91</v>
      </c>
      <c r="E150" s="17">
        <v>550.0000</v>
      </c>
      <c r="F150" s="17">
        <v>0</v>
      </c>
      <c r="G150" s="17">
        <f ca="1">((G149 + E150) - F150)</f>
        <v>0</v>
      </c>
      <c r="H150" s="17">
        <v>550.0000</v>
      </c>
      <c r="I150" s="17">
        <v>0</v>
      </c>
    </row>
    <row r="151" ht="10.95" customHeight="true" customFormat="true" s="9">
      <c r="A151" s="15">
        <v>46291</v>
      </c>
      <c r="B151" s="16" t="s">
        <v>88</v>
      </c>
      <c r="C151" s="16" t="s">
        <v>136</v>
      </c>
      <c r="D151" s="16" t="s">
        <v>133</v>
      </c>
      <c r="E151" s="17">
        <v>0</v>
      </c>
      <c r="F151" s="17">
        <v>550.0000</v>
      </c>
      <c r="G151" s="17">
        <f ca="1">((G150 + E151) - F151)</f>
        <v>0</v>
      </c>
      <c r="H151" s="17">
        <v>-550.0000</v>
      </c>
      <c r="I151" s="17">
        <v>0</v>
      </c>
    </row>
    <row r="152" ht="10.95" customHeight="true" customFormat="true" s="9">
      <c r="A152" s="15">
        <v>46296</v>
      </c>
      <c r="B152" s="16" t="s">
        <v>85</v>
      </c>
      <c r="C152" s="16" t="s">
        <v>15</v>
      </c>
      <c r="D152" s="16" t="s">
        <v>117</v>
      </c>
      <c r="E152" s="17">
        <v>3850.0000</v>
      </c>
      <c r="F152" s="17">
        <v>0</v>
      </c>
      <c r="G152" s="17">
        <f ca="1">((G151 + E152) - F152)</f>
        <v>0</v>
      </c>
      <c r="H152" s="17">
        <v>3850.0000</v>
      </c>
      <c r="I152" s="17">
        <v>0</v>
      </c>
    </row>
    <row r="153" ht="10.95" customHeight="true" customFormat="true" s="9">
      <c r="A153" s="15">
        <v>46296</v>
      </c>
      <c r="B153" s="16" t="s">
        <v>85</v>
      </c>
      <c r="C153" s="16" t="s">
        <v>96</v>
      </c>
      <c r="D153" s="16" t="s">
        <v>137</v>
      </c>
      <c r="E153" s="17">
        <v>330.0000</v>
      </c>
      <c r="F153" s="17">
        <v>0</v>
      </c>
      <c r="G153" s="17">
        <f ca="1">((G152 + E153) - F153)</f>
        <v>0</v>
      </c>
      <c r="H153" s="17">
        <v>330.0000</v>
      </c>
      <c r="I153" s="17">
        <v>0</v>
      </c>
    </row>
    <row r="154" ht="10.95" customHeight="true" customFormat="true" s="9">
      <c r="A154" s="15">
        <v>46296</v>
      </c>
      <c r="B154" s="16" t="s">
        <v>85</v>
      </c>
      <c r="C154" s="16" t="s">
        <v>138</v>
      </c>
      <c r="D154" s="16" t="s">
        <v>139</v>
      </c>
      <c r="E154" s="17">
        <v>105.6000</v>
      </c>
      <c r="F154" s="17">
        <v>0</v>
      </c>
      <c r="G154" s="17">
        <f ca="1">((G153 + E154) - F154)</f>
        <v>0</v>
      </c>
      <c r="H154" s="17">
        <v>105.6000</v>
      </c>
      <c r="I154" s="17">
        <v>0</v>
      </c>
    </row>
    <row r="155" ht="10.95" customHeight="true" customFormat="true" s="9">
      <c r="A155" s="15">
        <v>46301</v>
      </c>
      <c r="B155" s="16" t="s">
        <v>88</v>
      </c>
      <c r="C155" s="16" t="s">
        <v>124</v>
      </c>
      <c r="D155" s="16" t="s">
        <v>91</v>
      </c>
      <c r="E155" s="17">
        <v>0</v>
      </c>
      <c r="F155" s="17">
        <v>550.0000</v>
      </c>
      <c r="G155" s="17">
        <f ca="1">((G154 + E155) - F155)</f>
        <v>0</v>
      </c>
      <c r="H155" s="17">
        <v>-550.0000</v>
      </c>
      <c r="I155" s="17">
        <v>0</v>
      </c>
    </row>
    <row r="156" ht="10.95" customHeight="true" customFormat="true" s="9">
      <c r="A156" s="15">
        <v>46301</v>
      </c>
      <c r="B156" s="16" t="s">
        <v>88</v>
      </c>
      <c r="C156" s="16" t="s">
        <v>126</v>
      </c>
      <c r="D156" s="16" t="s">
        <v>91</v>
      </c>
      <c r="E156" s="17">
        <v>0</v>
      </c>
      <c r="F156" s="17">
        <v>550.0000</v>
      </c>
      <c r="G156" s="17">
        <f ca="1">((G155 + E156) - F156)</f>
        <v>0</v>
      </c>
      <c r="H156" s="17">
        <v>-550.0000</v>
      </c>
      <c r="I156" s="17">
        <v>0</v>
      </c>
    </row>
    <row r="157" ht="10.95" customHeight="true" customFormat="true" s="9">
      <c r="A157" s="15">
        <v>46301</v>
      </c>
      <c r="B157" s="16" t="s">
        <v>85</v>
      </c>
      <c r="C157" s="16" t="s">
        <v>140</v>
      </c>
      <c r="D157" s="16" t="s">
        <v>141</v>
      </c>
      <c r="E157" s="17">
        <v>3080.0000</v>
      </c>
      <c r="F157" s="17">
        <v>0</v>
      </c>
      <c r="G157" s="17">
        <f ca="1">((G156 + E157) - F157)</f>
        <v>0</v>
      </c>
      <c r="H157" s="17">
        <v>3080.0000</v>
      </c>
      <c r="I157" s="17">
        <v>0</v>
      </c>
    </row>
    <row r="158" ht="10.95" customHeight="true" customFormat="true" s="9">
      <c r="A158" s="15">
        <v>46301</v>
      </c>
      <c r="B158" s="16" t="s">
        <v>85</v>
      </c>
      <c r="C158" s="16" t="s">
        <v>142</v>
      </c>
      <c r="D158" s="16" t="s">
        <v>143</v>
      </c>
      <c r="E158" s="17">
        <v>6187.5000</v>
      </c>
      <c r="F158" s="17">
        <v>0</v>
      </c>
      <c r="G158" s="17">
        <f ca="1">((G157 + E158) - F158)</f>
        <v>0</v>
      </c>
      <c r="H158" s="17">
        <v>6187.5000</v>
      </c>
      <c r="I158" s="17">
        <v>0</v>
      </c>
    </row>
    <row r="159" ht="10.95" customHeight="true" customFormat="true" s="9">
      <c r="A159" s="15">
        <v>46301</v>
      </c>
      <c r="B159" s="16" t="s">
        <v>85</v>
      </c>
      <c r="C159" s="16" t="s">
        <v>144</v>
      </c>
      <c r="D159" s="16" t="s">
        <v>145</v>
      </c>
      <c r="E159" s="17">
        <v>550.0000</v>
      </c>
      <c r="F159" s="17">
        <v>0</v>
      </c>
      <c r="G159" s="17">
        <f ca="1">((G158 + E159) - F159)</f>
        <v>0</v>
      </c>
      <c r="H159" s="17">
        <v>550.0000</v>
      </c>
      <c r="I159" s="17">
        <v>0</v>
      </c>
    </row>
    <row r="160" ht="10.95" customHeight="true" customFormat="true" s="9">
      <c r="A160" s="15">
        <v>46304</v>
      </c>
      <c r="B160" s="16" t="s">
        <v>85</v>
      </c>
      <c r="C160" s="16" t="s">
        <v>111</v>
      </c>
      <c r="D160" s="16" t="s">
        <v>146</v>
      </c>
      <c r="E160" s="17">
        <v>2277.0000</v>
      </c>
      <c r="F160" s="17">
        <v>0</v>
      </c>
      <c r="G160" s="17">
        <f ca="1">((G159 + E160) - F160)</f>
        <v>0</v>
      </c>
      <c r="H160" s="17">
        <v>2277.0000</v>
      </c>
      <c r="I160" s="17">
        <v>0</v>
      </c>
    </row>
    <row r="161" ht="10.95" customHeight="true" customFormat="true" s="9">
      <c r="A161" s="15">
        <v>46304</v>
      </c>
      <c r="B161" s="16" t="s">
        <v>85</v>
      </c>
      <c r="C161" s="16" t="s">
        <v>144</v>
      </c>
      <c r="D161" s="16" t="s">
        <v>146</v>
      </c>
      <c r="E161" s="17">
        <v>3960.0000</v>
      </c>
      <c r="F161" s="17">
        <v>0</v>
      </c>
      <c r="G161" s="17">
        <f ca="1">((G160 + E161) - F161)</f>
        <v>0</v>
      </c>
      <c r="H161" s="17">
        <v>3960.0000</v>
      </c>
      <c r="I161" s="17">
        <v>0</v>
      </c>
    </row>
    <row r="162" ht="10.95" customHeight="true" customFormat="true" s="9">
      <c r="A162" s="15">
        <v>46306</v>
      </c>
      <c r="B162" s="16" t="s">
        <v>88</v>
      </c>
      <c r="C162" s="16" t="s">
        <v>147</v>
      </c>
      <c r="D162" s="16" t="s">
        <v>139</v>
      </c>
      <c r="E162" s="17">
        <v>0</v>
      </c>
      <c r="F162" s="17">
        <v>105.6000</v>
      </c>
      <c r="G162" s="17">
        <f ca="1">((G161 + E162) - F162)</f>
        <v>0</v>
      </c>
      <c r="H162" s="17">
        <v>-105.6000</v>
      </c>
      <c r="I162" s="17">
        <v>0</v>
      </c>
    </row>
    <row r="163" ht="10.95" customHeight="true" customFormat="true" s="9">
      <c r="A163" s="15">
        <v>46307</v>
      </c>
      <c r="B163" s="16" t="s">
        <v>85</v>
      </c>
      <c r="C163" s="16" t="s">
        <v>69</v>
      </c>
      <c r="D163" s="16" t="s">
        <v>148</v>
      </c>
      <c r="E163" s="17">
        <v>3200.0000</v>
      </c>
      <c r="F163" s="17">
        <v>0</v>
      </c>
      <c r="G163" s="17">
        <f ca="1">((G162 + E163) - F163)</f>
        <v>0</v>
      </c>
      <c r="H163" s="17">
        <v>3200.0000</v>
      </c>
      <c r="I163" s="17">
        <v>0</v>
      </c>
    </row>
    <row r="164" ht="10.95" customHeight="true" customFormat="true" s="9">
      <c r="A164" s="15">
        <v>46307</v>
      </c>
      <c r="B164" s="16" t="s">
        <v>88</v>
      </c>
      <c r="C164" s="16" t="s">
        <v>149</v>
      </c>
      <c r="D164" s="16" t="s">
        <v>137</v>
      </c>
      <c r="E164" s="17">
        <v>0</v>
      </c>
      <c r="F164" s="17">
        <v>330.0000</v>
      </c>
      <c r="G164" s="17">
        <f ca="1">((G163 + E164) - F164)</f>
        <v>0</v>
      </c>
      <c r="H164" s="17">
        <v>-330.0000</v>
      </c>
      <c r="I164" s="17">
        <v>0</v>
      </c>
    </row>
    <row r="165" ht="10.95" customHeight="true" customFormat="true" s="9">
      <c r="A165" s="15">
        <v>46308</v>
      </c>
      <c r="B165" s="16" t="s">
        <v>88</v>
      </c>
      <c r="C165" s="16" t="s">
        <v>128</v>
      </c>
      <c r="D165" s="16" t="s">
        <v>91</v>
      </c>
      <c r="E165" s="17">
        <v>0</v>
      </c>
      <c r="F165" s="17">
        <v>550.0000</v>
      </c>
      <c r="G165" s="17">
        <f ca="1">((G164 + E165) - F165)</f>
        <v>0</v>
      </c>
      <c r="H165" s="17">
        <v>-550.0000</v>
      </c>
      <c r="I165" s="17">
        <v>0</v>
      </c>
    </row>
    <row r="166" ht="10.95" customHeight="true" customFormat="true" s="9">
      <c r="A166" s="15">
        <v>46309</v>
      </c>
      <c r="B166" s="16" t="s">
        <v>88</v>
      </c>
      <c r="C166" s="16" t="s">
        <v>104</v>
      </c>
      <c r="D166" s="16" t="s">
        <v>91</v>
      </c>
      <c r="E166" s="17">
        <v>0</v>
      </c>
      <c r="F166" s="17">
        <v>550.0000</v>
      </c>
      <c r="G166" s="17">
        <f ca="1">((G165 + E166) - F166)</f>
        <v>0</v>
      </c>
      <c r="H166" s="17">
        <v>-550.0000</v>
      </c>
      <c r="I166" s="17">
        <v>0</v>
      </c>
    </row>
    <row r="167" ht="10.95" customHeight="true" customFormat="true" s="9">
      <c r="A167" s="15">
        <v>46309</v>
      </c>
      <c r="B167" s="16" t="s">
        <v>88</v>
      </c>
      <c r="C167" s="16" t="s">
        <v>17</v>
      </c>
      <c r="D167" s="16" t="s">
        <v>117</v>
      </c>
      <c r="E167" s="17">
        <v>0</v>
      </c>
      <c r="F167" s="17">
        <v>2145.0000</v>
      </c>
      <c r="G167" s="17">
        <f ca="1">((G166 + E167) - F167)</f>
        <v>0</v>
      </c>
      <c r="H167" s="17">
        <v>-2145.0000</v>
      </c>
      <c r="I167" s="17">
        <v>0</v>
      </c>
    </row>
    <row r="168" ht="10.95" customHeight="true" customFormat="true" s="9">
      <c r="A168" s="15">
        <v>46309</v>
      </c>
      <c r="B168" s="16" t="s">
        <v>88</v>
      </c>
      <c r="C168" s="16" t="s">
        <v>17</v>
      </c>
      <c r="D168" s="16" t="s">
        <v>117</v>
      </c>
      <c r="E168" s="17">
        <v>0</v>
      </c>
      <c r="F168" s="17">
        <v>3850.0000</v>
      </c>
      <c r="G168" s="17">
        <f ca="1">((G167 + E168) - F168)</f>
        <v>0</v>
      </c>
      <c r="H168" s="17">
        <v>-3850.0000</v>
      </c>
      <c r="I168" s="17">
        <v>0</v>
      </c>
    </row>
    <row r="169" ht="10.95" customHeight="true" customFormat="true" s="9">
      <c r="A169" s="15">
        <v>46309</v>
      </c>
      <c r="B169" s="16" t="s">
        <v>85</v>
      </c>
      <c r="C169" s="16" t="s">
        <v>15</v>
      </c>
      <c r="D169" s="16" t="s">
        <v>150</v>
      </c>
      <c r="E169" s="17">
        <v>4200.0000</v>
      </c>
      <c r="F169" s="17">
        <v>0</v>
      </c>
      <c r="G169" s="17">
        <f ca="1">((G168 + E169) - F169)</f>
        <v>0</v>
      </c>
      <c r="H169" s="17">
        <v>4200.0000</v>
      </c>
      <c r="I169" s="17">
        <v>0</v>
      </c>
    </row>
    <row r="170" ht="10.95" customHeight="true" customFormat="true" s="9">
      <c r="A170" s="15">
        <v>46310</v>
      </c>
      <c r="B170" s="16" t="s">
        <v>88</v>
      </c>
      <c r="C170" s="16" t="s">
        <v>151</v>
      </c>
      <c r="D170" s="16" t="s">
        <v>146</v>
      </c>
      <c r="E170" s="17">
        <v>0</v>
      </c>
      <c r="F170" s="17">
        <v>3960.0000</v>
      </c>
      <c r="G170" s="17">
        <f ca="1">((G169 + E170) - F170)</f>
        <v>0</v>
      </c>
      <c r="H170" s="17">
        <v>-3960.0000</v>
      </c>
      <c r="I170" s="17">
        <v>0</v>
      </c>
    </row>
    <row r="171" ht="10.95" customHeight="true" customFormat="true" s="9">
      <c r="A171" s="15">
        <v>46310</v>
      </c>
      <c r="B171" s="16" t="s">
        <v>88</v>
      </c>
      <c r="C171" s="16" t="s">
        <v>151</v>
      </c>
      <c r="D171" s="16" t="s">
        <v>145</v>
      </c>
      <c r="E171" s="17">
        <v>0</v>
      </c>
      <c r="F171" s="17">
        <v>550.0000</v>
      </c>
      <c r="G171" s="17">
        <f ca="1">((G170 + E171) - F171)</f>
        <v>0</v>
      </c>
      <c r="H171" s="17">
        <v>-550.0000</v>
      </c>
      <c r="I171" s="17">
        <v>0</v>
      </c>
    </row>
    <row r="172" ht="10.95" customHeight="true" customFormat="true" s="9">
      <c r="A172" s="15">
        <v>46311</v>
      </c>
      <c r="B172" s="16" t="s">
        <v>85</v>
      </c>
      <c r="C172" s="16" t="s">
        <v>152</v>
      </c>
      <c r="D172" s="16" t="s">
        <v>153</v>
      </c>
      <c r="E172" s="17">
        <v>495.0000</v>
      </c>
      <c r="F172" s="17">
        <v>0</v>
      </c>
      <c r="G172" s="17">
        <f ca="1">((G171 + E172) - F172)</f>
        <v>0</v>
      </c>
      <c r="H172" s="17">
        <v>495.0000</v>
      </c>
      <c r="I172" s="17">
        <v>0</v>
      </c>
    </row>
    <row r="173" ht="10.95" customHeight="true" customFormat="true" s="9">
      <c r="A173" s="15">
        <v>46311</v>
      </c>
      <c r="B173" s="16" t="s">
        <v>98</v>
      </c>
      <c r="C173" s="16" t="s">
        <v>15</v>
      </c>
      <c r="D173" s="16" t="s">
        <v>117</v>
      </c>
      <c r="E173" s="17">
        <v>0</v>
      </c>
      <c r="F173" s="17">
        <v>1155.0000</v>
      </c>
      <c r="G173" s="17">
        <f ca="1">((G172 + E173) - F173)</f>
        <v>0</v>
      </c>
      <c r="H173" s="17">
        <v>-1155.0000</v>
      </c>
      <c r="I173" s="17">
        <v>0</v>
      </c>
    </row>
    <row r="174" ht="10.95" customHeight="true" customFormat="true" s="9">
      <c r="A174" s="15">
        <v>46311</v>
      </c>
      <c r="B174" s="16" t="s">
        <v>88</v>
      </c>
      <c r="C174" s="16" t="s">
        <v>154</v>
      </c>
      <c r="D174" s="16" t="s">
        <v>146</v>
      </c>
      <c r="E174" s="17">
        <v>0</v>
      </c>
      <c r="F174" s="17">
        <v>2277.0000</v>
      </c>
      <c r="G174" s="17">
        <f ca="1">((G173 + E174) - F174)</f>
        <v>0</v>
      </c>
      <c r="H174" s="17">
        <v>-2277.0000</v>
      </c>
      <c r="I174" s="17">
        <v>0</v>
      </c>
    </row>
    <row r="175" ht="10.95" customHeight="true" customFormat="true" s="9">
      <c r="A175" s="15">
        <v>46312</v>
      </c>
      <c r="B175" s="16" t="s">
        <v>85</v>
      </c>
      <c r="C175" s="16" t="s">
        <v>155</v>
      </c>
      <c r="D175" s="16" t="s">
        <v>156</v>
      </c>
      <c r="E175" s="17">
        <v>914.5500</v>
      </c>
      <c r="F175" s="17">
        <v>0</v>
      </c>
      <c r="G175" s="17">
        <f ca="1">((G174 + E175) - F175)</f>
        <v>0</v>
      </c>
      <c r="H175" s="17">
        <v>914.5500</v>
      </c>
      <c r="I175" s="17">
        <v>0</v>
      </c>
    </row>
    <row r="176" ht="10.95" customHeight="true" customFormat="true" s="9">
      <c r="A176" s="15">
        <v>46312</v>
      </c>
      <c r="B176" s="16" t="s">
        <v>85</v>
      </c>
      <c r="C176" s="16" t="s">
        <v>157</v>
      </c>
      <c r="D176" s="16" t="s">
        <v>158</v>
      </c>
      <c r="E176" s="17">
        <v>396.0000</v>
      </c>
      <c r="F176" s="17">
        <v>0</v>
      </c>
      <c r="G176" s="17">
        <f ca="1">((G175 + E176) - F176)</f>
        <v>0</v>
      </c>
      <c r="H176" s="17">
        <v>396.0000</v>
      </c>
      <c r="I176" s="17">
        <v>0</v>
      </c>
    </row>
    <row r="177" ht="10.95" customHeight="true" customFormat="true" s="9">
      <c r="A177" s="15">
        <v>46312</v>
      </c>
      <c r="B177" s="16" t="s">
        <v>85</v>
      </c>
      <c r="C177" s="16" t="s">
        <v>69</v>
      </c>
      <c r="D177" s="16" t="s">
        <v>77</v>
      </c>
      <c r="E177" s="17">
        <v>234.0000</v>
      </c>
      <c r="F177" s="17">
        <v>0</v>
      </c>
      <c r="G177" s="17">
        <f ca="1">((G176 + E177) - F177)</f>
        <v>0</v>
      </c>
      <c r="H177" s="17">
        <v>234.0000</v>
      </c>
      <c r="I177" s="17">
        <v>0</v>
      </c>
    </row>
    <row r="178" ht="10.95" customHeight="true" customFormat="true" s="9">
      <c r="A178" s="15">
        <v>46312</v>
      </c>
      <c r="B178" s="16" t="s">
        <v>85</v>
      </c>
      <c r="C178" s="16" t="s">
        <v>144</v>
      </c>
      <c r="D178" s="16" t="s">
        <v>159</v>
      </c>
      <c r="E178" s="17">
        <v>1650.0000</v>
      </c>
      <c r="F178" s="17">
        <v>0</v>
      </c>
      <c r="G178" s="17">
        <f ca="1">((G177 + E178) - F178)</f>
        <v>0</v>
      </c>
      <c r="H178" s="17">
        <v>1650.0000</v>
      </c>
      <c r="I178" s="17">
        <v>0</v>
      </c>
    </row>
    <row r="179" ht="10.95" customHeight="true" customFormat="true" s="9">
      <c r="A179" s="15">
        <v>46351</v>
      </c>
      <c r="B179" s="16" t="s">
        <v>100</v>
      </c>
      <c r="C179" s="16" t="s">
        <v>15</v>
      </c>
      <c r="D179" s="16" t="s">
        <v>117</v>
      </c>
      <c r="E179" s="17">
        <v>1155.0000</v>
      </c>
      <c r="F179" s="17">
        <v>0</v>
      </c>
      <c r="G179" s="17">
        <f ca="1">((G178 + E179) - F179)</f>
        <v>0</v>
      </c>
      <c r="H179" s="17">
        <v>1155.0000</v>
      </c>
      <c r="I179" s="17">
        <v>0</v>
      </c>
    </row>
    <row r="180" ht="10.95" customHeight="true" customFormat="true" s="9">
      <c r="A180" s="15">
        <v>46351</v>
      </c>
      <c r="B180" s="16" t="s">
        <v>100</v>
      </c>
      <c r="C180" s="16" t="s">
        <v>15</v>
      </c>
      <c r="D180" s="16" t="s">
        <v>117</v>
      </c>
      <c r="E180" s="17">
        <v>0</v>
      </c>
      <c r="F180" s="17">
        <v>1155.0000</v>
      </c>
      <c r="G180" s="17">
        <f ca="1">((G179 + E180) - F180)</f>
        <v>0</v>
      </c>
      <c r="H180" s="17">
        <v>-1155.0000</v>
      </c>
      <c r="I180" s="17">
        <v>0</v>
      </c>
    </row>
    <row r="181" ht="10.95" customHeight="true" customFormat="true" s="9">
      <c r="A181" s="18" t="s">
        <v>160</v>
      </c>
      <c r="B181" s="18"/>
      <c r="C181" s="18"/>
      <c r="D181" s="18"/>
      <c r="E181" s="19">
        <f ca="1">SUM(E90:E180)</f>
        <v>0</v>
      </c>
      <c r="F181" s="19">
        <f ca="1">SUM(F90:F180)</f>
        <v>0</v>
      </c>
      <c r="G181" s="19">
        <f ca="1">G180</f>
        <v>0</v>
      </c>
      <c r="H181" s="19">
        <f ca="1">SUM(H90:H180)</f>
        <v>0</v>
      </c>
      <c r="I181" s="19">
        <f ca="1">SUM(I90:I180)</f>
        <v>0</v>
      </c>
    </row>
    <row r="182" ht="10.95" customHeight="true" customFormat="true" s="9">
      <c r="A182" s="10" t="s">
        <v>83</v>
      </c>
      <c r="B182" s="10"/>
      <c r="C182" s="10"/>
      <c r="D182" s="10"/>
      <c r="E182" s="11">
        <v>25056.5500</v>
      </c>
      <c r="F182" s="11">
        <v>0</v>
      </c>
      <c r="G182" s="11">
        <f ca="1">G180</f>
        <v>0</v>
      </c>
      <c r="H182" s="11">
        <v>0</v>
      </c>
      <c r="I182" s="11">
        <v>0</v>
      </c>
    </row>
    <row r="183" ht="13.35" customHeight="true"/>
    <row r="184" ht="12.1" customHeight="true" customFormat="true" s="5">
      <c r="A184" s="20" t="s">
        <v>161</v>
      </c>
      <c r="B184" s="20"/>
      <c r="C184" s="20"/>
      <c r="D184" s="20"/>
      <c r="E184" s="20"/>
      <c r="F184" s="20"/>
      <c r="G184" s="20"/>
      <c r="H184" s="20"/>
      <c r="I184" s="20"/>
    </row>
    <row r="185" ht="10.95" customHeight="true" customFormat="true" s="9">
      <c r="A185" s="12">
        <v>46247</v>
      </c>
      <c r="B185" s="13" t="s">
        <v>162</v>
      </c>
      <c r="C185" s="13" t="s">
        <v>163</v>
      </c>
      <c r="D185" s="13"/>
      <c r="E185" s="14">
        <v>12.0000</v>
      </c>
      <c r="F185" s="14">
        <v>0</v>
      </c>
      <c r="G185" s="14">
        <f ca="1">(E185 - F185)</f>
        <v>0</v>
      </c>
      <c r="H185" s="14">
        <v>13.2000</v>
      </c>
      <c r="I185" s="14">
        <v>1.2000</v>
      </c>
    </row>
    <row r="186" ht="10.95" customHeight="true" customFormat="true" s="9">
      <c r="A186" s="15">
        <v>46270</v>
      </c>
      <c r="B186" s="16" t="s">
        <v>14</v>
      </c>
      <c r="C186" s="16" t="s">
        <v>164</v>
      </c>
      <c r="D186" s="16" t="s">
        <v>52</v>
      </c>
      <c r="E186" s="17">
        <v>1818.1800</v>
      </c>
      <c r="F186" s="17">
        <v>0</v>
      </c>
      <c r="G186" s="17">
        <f ca="1">((G185 + E186) - F186)</f>
        <v>0</v>
      </c>
      <c r="H186" s="17">
        <v>2000.0000</v>
      </c>
      <c r="I186" s="17">
        <v>181.8200</v>
      </c>
    </row>
    <row r="187" ht="10.95" customHeight="true" customFormat="true" s="9">
      <c r="A187" s="15">
        <v>46301</v>
      </c>
      <c r="B187" s="16" t="s">
        <v>14</v>
      </c>
      <c r="C187" s="16" t="s">
        <v>165</v>
      </c>
      <c r="D187" s="16" t="s">
        <v>68</v>
      </c>
      <c r="E187" s="17">
        <v>2272.7300</v>
      </c>
      <c r="F187" s="17">
        <v>0</v>
      </c>
      <c r="G187" s="17">
        <f ca="1">((G186 + E187) - F187)</f>
        <v>0</v>
      </c>
      <c r="H187" s="17">
        <v>2500.0000</v>
      </c>
      <c r="I187" s="17">
        <v>227.2700</v>
      </c>
    </row>
    <row r="188" ht="10.95" customHeight="true" customFormat="true" s="9">
      <c r="A188" s="18" t="s">
        <v>166</v>
      </c>
      <c r="B188" s="18"/>
      <c r="C188" s="18"/>
      <c r="D188" s="18"/>
      <c r="E188" s="19">
        <f ca="1">SUM(E185:E187)</f>
        <v>0</v>
      </c>
      <c r="F188" s="19">
        <f ca="1">SUM(F185:F187)</f>
        <v>0</v>
      </c>
      <c r="G188" s="19">
        <f ca="1">G187</f>
        <v>0</v>
      </c>
      <c r="H188" s="19">
        <f ca="1">SUM(H185:H187)</f>
        <v>0</v>
      </c>
      <c r="I188" s="19">
        <f ca="1">SUM(I185:I187)</f>
        <v>0</v>
      </c>
    </row>
    <row r="189" ht="13.35" customHeight="true"/>
    <row r="190" ht="12.1" customHeight="true" customFormat="true" s="5">
      <c r="A190" s="20" t="s">
        <v>167</v>
      </c>
      <c r="B190" s="20"/>
      <c r="C190" s="20"/>
      <c r="D190" s="20"/>
      <c r="E190" s="20"/>
      <c r="F190" s="20"/>
      <c r="G190" s="20"/>
      <c r="H190" s="20"/>
      <c r="I190" s="20"/>
    </row>
    <row r="191" ht="10.95" customHeight="true" customFormat="true" s="9">
      <c r="A191" s="12">
        <v>46220</v>
      </c>
      <c r="B191" s="13" t="s">
        <v>162</v>
      </c>
      <c r="C191" s="13" t="s">
        <v>168</v>
      </c>
      <c r="D191" s="13"/>
      <c r="E191" s="14">
        <v>10.5000</v>
      </c>
      <c r="F191" s="14">
        <v>0</v>
      </c>
      <c r="G191" s="14">
        <f ca="1">(E191 - F191)</f>
        <v>0</v>
      </c>
      <c r="H191" s="14">
        <v>10.5000</v>
      </c>
      <c r="I191" s="14">
        <v>0</v>
      </c>
    </row>
    <row r="192" ht="10.95" customHeight="true" customFormat="true" s="9">
      <c r="A192" s="15">
        <v>46251</v>
      </c>
      <c r="B192" s="16" t="s">
        <v>162</v>
      </c>
      <c r="C192" s="16" t="s">
        <v>168</v>
      </c>
      <c r="D192" s="16"/>
      <c r="E192" s="17">
        <v>10.5000</v>
      </c>
      <c r="F192" s="17">
        <v>0</v>
      </c>
      <c r="G192" s="17">
        <f ca="1">((G191 + E192) - F192)</f>
        <v>0</v>
      </c>
      <c r="H192" s="17">
        <v>10.5000</v>
      </c>
      <c r="I192" s="17">
        <v>0</v>
      </c>
    </row>
    <row r="193" ht="10.95" customHeight="true" customFormat="true" s="9">
      <c r="A193" s="15">
        <v>46282</v>
      </c>
      <c r="B193" s="16" t="s">
        <v>162</v>
      </c>
      <c r="C193" s="16" t="s">
        <v>169</v>
      </c>
      <c r="D193" s="16"/>
      <c r="E193" s="17">
        <v>10.5000</v>
      </c>
      <c r="F193" s="17">
        <v>0</v>
      </c>
      <c r="G193" s="17">
        <f ca="1">((G192 + E193) - F193)</f>
        <v>0</v>
      </c>
      <c r="H193" s="17">
        <v>10.5000</v>
      </c>
      <c r="I193" s="17">
        <v>0</v>
      </c>
    </row>
    <row r="194" ht="10.95" customHeight="true" customFormat="true" s="9">
      <c r="A194" s="15">
        <v>46312</v>
      </c>
      <c r="B194" s="16" t="s">
        <v>162</v>
      </c>
      <c r="C194" s="16" t="s">
        <v>170</v>
      </c>
      <c r="D194" s="16"/>
      <c r="E194" s="17">
        <v>300.0000</v>
      </c>
      <c r="F194" s="17">
        <v>0</v>
      </c>
      <c r="G194" s="17">
        <f ca="1">((G193 + E194) - F194)</f>
        <v>0</v>
      </c>
      <c r="H194" s="17">
        <v>300.0000</v>
      </c>
      <c r="I194" s="17">
        <v>0</v>
      </c>
    </row>
    <row r="195" ht="10.95" customHeight="true" customFormat="true" s="9">
      <c r="A195" s="18" t="s">
        <v>171</v>
      </c>
      <c r="B195" s="18"/>
      <c r="C195" s="18"/>
      <c r="D195" s="18"/>
      <c r="E195" s="19">
        <f ca="1">SUM(E191:E194)</f>
        <v>0</v>
      </c>
      <c r="F195" s="19">
        <f ca="1">SUM(F191:F194)</f>
        <v>0</v>
      </c>
      <c r="G195" s="19">
        <f ca="1">G194</f>
        <v>0</v>
      </c>
      <c r="H195" s="19">
        <f ca="1">SUM(H191:H194)</f>
        <v>0</v>
      </c>
      <c r="I195" s="19">
        <f ca="1">SUM(I191:I194)</f>
        <v>0</v>
      </c>
    </row>
    <row r="196" ht="13.35" customHeight="true"/>
    <row r="197" ht="12.1" customHeight="true" customFormat="true" s="5">
      <c r="A197" s="8" t="s">
        <v>172</v>
      </c>
      <c r="B197" s="8"/>
      <c r="C197" s="8"/>
      <c r="D197" s="8"/>
      <c r="E197" s="8"/>
      <c r="F197" s="8"/>
      <c r="G197" s="8"/>
      <c r="H197" s="8"/>
      <c r="I197" s="8"/>
    </row>
    <row r="198" ht="10.95" customHeight="true" customFormat="true" s="9">
      <c r="A198" s="10" t="s">
        <v>13</v>
      </c>
      <c r="B198" s="10"/>
      <c r="C198" s="10"/>
      <c r="D198" s="10"/>
      <c r="E198" s="11">
        <v>0</v>
      </c>
      <c r="F198" s="11">
        <v>0</v>
      </c>
      <c r="G198" s="11">
        <f ca="1">(E198 - F198)</f>
        <v>0</v>
      </c>
      <c r="H198" s="11">
        <v>0</v>
      </c>
      <c r="I198" s="11">
        <v>0</v>
      </c>
    </row>
    <row r="199" ht="10.95" customHeight="true" customFormat="true" s="9">
      <c r="A199" s="12">
        <v>45885</v>
      </c>
      <c r="B199" s="13" t="s">
        <v>16</v>
      </c>
      <c r="C199" s="13" t="s">
        <v>17</v>
      </c>
      <c r="D199" s="13"/>
      <c r="E199" s="14">
        <v>0</v>
      </c>
      <c r="F199" s="14">
        <v>6661.6000</v>
      </c>
      <c r="G199" s="14">
        <f ca="1">((G198 + E199) - F199)</f>
        <v>0</v>
      </c>
      <c r="H199" s="14">
        <v>-6661.6000</v>
      </c>
      <c r="I199" s="14">
        <v>0</v>
      </c>
    </row>
    <row r="200" ht="10.95" customHeight="true" customFormat="true" s="9">
      <c r="A200" s="15">
        <v>45946</v>
      </c>
      <c r="B200" s="16" t="s">
        <v>88</v>
      </c>
      <c r="C200" s="16" t="s">
        <v>89</v>
      </c>
      <c r="D200" s="16" t="s">
        <v>87</v>
      </c>
      <c r="E200" s="17">
        <v>4620.0000</v>
      </c>
      <c r="F200" s="17">
        <v>0</v>
      </c>
      <c r="G200" s="17">
        <f ca="1">((G199 + E200) - F200)</f>
        <v>0</v>
      </c>
      <c r="H200" s="17">
        <v>4620.0000</v>
      </c>
      <c r="I200" s="17">
        <v>0</v>
      </c>
    </row>
    <row r="201" ht="10.95" customHeight="true" customFormat="true" s="9">
      <c r="A201" s="15">
        <v>45946</v>
      </c>
      <c r="B201" s="16" t="s">
        <v>16</v>
      </c>
      <c r="C201" s="16" t="s">
        <v>17</v>
      </c>
      <c r="D201" s="16"/>
      <c r="E201" s="17">
        <v>0</v>
      </c>
      <c r="F201" s="17">
        <v>6661.6000</v>
      </c>
      <c r="G201" s="17">
        <f ca="1">((G200 + E201) - F201)</f>
        <v>0</v>
      </c>
      <c r="H201" s="17">
        <v>-6661.6000</v>
      </c>
      <c r="I201" s="17">
        <v>0</v>
      </c>
    </row>
    <row r="202" ht="10.95" customHeight="true" customFormat="true" s="9">
      <c r="A202" s="15">
        <v>46219</v>
      </c>
      <c r="B202" s="16" t="s">
        <v>173</v>
      </c>
      <c r="C202" s="16" t="s">
        <v>174</v>
      </c>
      <c r="D202" s="16"/>
      <c r="E202" s="17">
        <v>4130.9800</v>
      </c>
      <c r="F202" s="17">
        <v>0</v>
      </c>
      <c r="G202" s="17">
        <f ca="1">((G201 + E202) - F202)</f>
        <v>0</v>
      </c>
      <c r="H202" s="17">
        <v>4130.9800</v>
      </c>
      <c r="I202" s="17">
        <v>0</v>
      </c>
    </row>
    <row r="203" ht="10.95" customHeight="true" customFormat="true" s="9">
      <c r="A203" s="15">
        <v>46220</v>
      </c>
      <c r="B203" s="16" t="s">
        <v>162</v>
      </c>
      <c r="C203" s="16" t="s">
        <v>168</v>
      </c>
      <c r="D203" s="16"/>
      <c r="E203" s="17">
        <v>0</v>
      </c>
      <c r="F203" s="17">
        <v>10.5000</v>
      </c>
      <c r="G203" s="17">
        <f ca="1">((G202 + E203) - F203)</f>
        <v>0</v>
      </c>
      <c r="H203" s="17">
        <v>-10.5000</v>
      </c>
      <c r="I203" s="17">
        <v>0</v>
      </c>
    </row>
    <row r="204" ht="10.95" customHeight="true" customFormat="true" s="9">
      <c r="A204" s="15">
        <v>46222</v>
      </c>
      <c r="B204" s="16" t="s">
        <v>16</v>
      </c>
      <c r="C204" s="16" t="s">
        <v>22</v>
      </c>
      <c r="D204" s="16" t="s">
        <v>21</v>
      </c>
      <c r="E204" s="17">
        <v>0</v>
      </c>
      <c r="F204" s="17">
        <v>218.9000</v>
      </c>
      <c r="G204" s="17">
        <f ca="1">((G203 + E204) - F204)</f>
        <v>0</v>
      </c>
      <c r="H204" s="17">
        <v>-218.9000</v>
      </c>
      <c r="I204" s="17">
        <v>0</v>
      </c>
    </row>
    <row r="205" ht="10.95" customHeight="true" customFormat="true" s="9">
      <c r="A205" s="15">
        <v>46224</v>
      </c>
      <c r="B205" s="16" t="s">
        <v>162</v>
      </c>
      <c r="C205" s="16" t="s">
        <v>175</v>
      </c>
      <c r="D205" s="16"/>
      <c r="E205" s="17">
        <v>0</v>
      </c>
      <c r="F205" s="17">
        <v>125.9000</v>
      </c>
      <c r="G205" s="17">
        <f ca="1">((G204 + E205) - F205)</f>
        <v>0</v>
      </c>
      <c r="H205" s="17">
        <v>-125.9000</v>
      </c>
      <c r="I205" s="17">
        <v>0</v>
      </c>
    </row>
    <row r="206" ht="10.95" customHeight="true" customFormat="true" s="9">
      <c r="A206" s="15">
        <v>46224</v>
      </c>
      <c r="B206" s="16" t="s">
        <v>162</v>
      </c>
      <c r="C206" s="16" t="s">
        <v>176</v>
      </c>
      <c r="D206" s="16"/>
      <c r="E206" s="17">
        <v>0</v>
      </c>
      <c r="F206" s="17">
        <v>1650.0000</v>
      </c>
      <c r="G206" s="17">
        <f ca="1">((G205 + E206) - F206)</f>
        <v>0</v>
      </c>
      <c r="H206" s="17">
        <v>-1650.0000</v>
      </c>
      <c r="I206" s="17">
        <v>0</v>
      </c>
    </row>
    <row r="207" ht="10.95" customHeight="true" customFormat="true" s="9">
      <c r="A207" s="15">
        <v>46226</v>
      </c>
      <c r="B207" s="16" t="s">
        <v>162</v>
      </c>
      <c r="C207" s="16" t="s">
        <v>177</v>
      </c>
      <c r="D207" s="16"/>
      <c r="E207" s="17">
        <v>0</v>
      </c>
      <c r="F207" s="17">
        <v>65.2000</v>
      </c>
      <c r="G207" s="17">
        <f ca="1">((G206 + E207) - F207)</f>
        <v>0</v>
      </c>
      <c r="H207" s="17">
        <v>-65.2000</v>
      </c>
      <c r="I207" s="17">
        <v>0</v>
      </c>
    </row>
    <row r="208" ht="10.95" customHeight="true" customFormat="true" s="9">
      <c r="A208" s="15">
        <v>46228</v>
      </c>
      <c r="B208" s="16" t="s">
        <v>16</v>
      </c>
      <c r="C208" s="16" t="s">
        <v>23</v>
      </c>
      <c r="D208" s="16" t="s">
        <v>19</v>
      </c>
      <c r="E208" s="17">
        <v>0</v>
      </c>
      <c r="F208" s="17">
        <v>148.5000</v>
      </c>
      <c r="G208" s="17">
        <f ca="1">((G207 + E208) - F208)</f>
        <v>0</v>
      </c>
      <c r="H208" s="17">
        <v>-148.5000</v>
      </c>
      <c r="I208" s="17">
        <v>0</v>
      </c>
    </row>
    <row r="209" ht="10.95" customHeight="true" customFormat="true" s="9">
      <c r="A209" s="15">
        <v>46229</v>
      </c>
      <c r="B209" s="16" t="s">
        <v>162</v>
      </c>
      <c r="C209" s="16" t="s">
        <v>178</v>
      </c>
      <c r="D209" s="16"/>
      <c r="E209" s="17">
        <v>0</v>
      </c>
      <c r="F209" s="17">
        <v>11.5000</v>
      </c>
      <c r="G209" s="17">
        <f ca="1">((G208 + E209) - F209)</f>
        <v>0</v>
      </c>
      <c r="H209" s="17">
        <v>-11.5000</v>
      </c>
      <c r="I209" s="17">
        <v>0</v>
      </c>
    </row>
    <row r="210" ht="10.95" customHeight="true" customFormat="true" s="9">
      <c r="A210" s="15">
        <v>46229</v>
      </c>
      <c r="B210" s="16" t="s">
        <v>88</v>
      </c>
      <c r="C210" s="16" t="s">
        <v>103</v>
      </c>
      <c r="D210" s="16" t="s">
        <v>179</v>
      </c>
      <c r="E210" s="17">
        <v>550.0000</v>
      </c>
      <c r="F210" s="17">
        <v>0</v>
      </c>
      <c r="G210" s="17">
        <f ca="1">((G209 + E210) - F210)</f>
        <v>0</v>
      </c>
      <c r="H210" s="17">
        <v>550.0000</v>
      </c>
      <c r="I210" s="17">
        <v>0</v>
      </c>
    </row>
    <row r="211" ht="10.95" customHeight="true" customFormat="true" s="9">
      <c r="A211" s="15">
        <v>46229</v>
      </c>
      <c r="B211" s="16" t="s">
        <v>88</v>
      </c>
      <c r="C211" s="16" t="s">
        <v>104</v>
      </c>
      <c r="D211" s="16" t="s">
        <v>180</v>
      </c>
      <c r="E211" s="17">
        <v>550.0000</v>
      </c>
      <c r="F211" s="17">
        <v>0</v>
      </c>
      <c r="G211" s="17">
        <f ca="1">((G210 + E211) - F211)</f>
        <v>0</v>
      </c>
      <c r="H211" s="17">
        <v>550.0000</v>
      </c>
      <c r="I211" s="17">
        <v>0</v>
      </c>
    </row>
    <row r="212" ht="10.95" customHeight="true" customFormat="true" s="9">
      <c r="A212" s="15">
        <v>46229</v>
      </c>
      <c r="B212" s="16" t="s">
        <v>88</v>
      </c>
      <c r="C212" s="16" t="s">
        <v>105</v>
      </c>
      <c r="D212" s="16" t="s">
        <v>181</v>
      </c>
      <c r="E212" s="17">
        <v>550.0000</v>
      </c>
      <c r="F212" s="17">
        <v>0</v>
      </c>
      <c r="G212" s="17">
        <f ca="1">((G211 + E212) - F212)</f>
        <v>0</v>
      </c>
      <c r="H212" s="17">
        <v>550.0000</v>
      </c>
      <c r="I212" s="17">
        <v>0</v>
      </c>
    </row>
    <row r="213" ht="10.95" customHeight="true" customFormat="true" s="9">
      <c r="A213" s="15">
        <v>46229</v>
      </c>
      <c r="B213" s="16" t="s">
        <v>88</v>
      </c>
      <c r="C213" s="16" t="s">
        <v>106</v>
      </c>
      <c r="D213" s="16" t="s">
        <v>182</v>
      </c>
      <c r="E213" s="17">
        <v>550.0000</v>
      </c>
      <c r="F213" s="17">
        <v>0</v>
      </c>
      <c r="G213" s="17">
        <f ca="1">((G212 + E213) - F213)</f>
        <v>0</v>
      </c>
      <c r="H213" s="17">
        <v>550.0000</v>
      </c>
      <c r="I213" s="17">
        <v>0</v>
      </c>
    </row>
    <row r="214" ht="10.95" customHeight="true" customFormat="true" s="9">
      <c r="A214" s="15">
        <v>46234</v>
      </c>
      <c r="B214" s="16" t="s">
        <v>162</v>
      </c>
      <c r="C214" s="16" t="s">
        <v>183</v>
      </c>
      <c r="D214" s="16"/>
      <c r="E214" s="17">
        <v>0</v>
      </c>
      <c r="F214" s="17">
        <v>50.0000</v>
      </c>
      <c r="G214" s="17">
        <f ca="1">((G213 + E214) - F214)</f>
        <v>0</v>
      </c>
      <c r="H214" s="17">
        <v>-50.0000</v>
      </c>
      <c r="I214" s="17">
        <v>0</v>
      </c>
    </row>
    <row r="215" ht="10.95" customHeight="true" customFormat="true" s="9">
      <c r="A215" s="15">
        <v>46236</v>
      </c>
      <c r="B215" s="16" t="s">
        <v>162</v>
      </c>
      <c r="C215" s="16" t="s">
        <v>184</v>
      </c>
      <c r="D215" s="16" t="s">
        <v>185</v>
      </c>
      <c r="E215" s="17">
        <v>0</v>
      </c>
      <c r="F215" s="17">
        <v>1860.0000</v>
      </c>
      <c r="G215" s="17">
        <f ca="1">((G214 + E215) - F215)</f>
        <v>0</v>
      </c>
      <c r="H215" s="17">
        <v>-1860.0000</v>
      </c>
      <c r="I215" s="17">
        <v>0</v>
      </c>
    </row>
    <row r="216" ht="10.95" customHeight="true" customFormat="true" s="9">
      <c r="A216" s="15">
        <v>46236</v>
      </c>
      <c r="B216" s="16" t="s">
        <v>162</v>
      </c>
      <c r="C216" s="16" t="s">
        <v>186</v>
      </c>
      <c r="D216" s="16" t="s">
        <v>185</v>
      </c>
      <c r="E216" s="17">
        <v>0</v>
      </c>
      <c r="F216" s="17">
        <v>1938.0000</v>
      </c>
      <c r="G216" s="17">
        <f ca="1">((G215 + E216) - F216)</f>
        <v>0</v>
      </c>
      <c r="H216" s="17">
        <v>-1938.0000</v>
      </c>
      <c r="I216" s="17">
        <v>0</v>
      </c>
    </row>
    <row r="217" ht="10.95" customHeight="true" customFormat="true" s="9">
      <c r="A217" s="15">
        <v>46236</v>
      </c>
      <c r="B217" s="16" t="s">
        <v>162</v>
      </c>
      <c r="C217" s="16" t="s">
        <v>187</v>
      </c>
      <c r="D217" s="16" t="s">
        <v>185</v>
      </c>
      <c r="E217" s="17">
        <v>0</v>
      </c>
      <c r="F217" s="17">
        <v>1395.0000</v>
      </c>
      <c r="G217" s="17">
        <f ca="1">((G216 + E217) - F217)</f>
        <v>0</v>
      </c>
      <c r="H217" s="17">
        <v>-1395.0000</v>
      </c>
      <c r="I217" s="17">
        <v>0</v>
      </c>
    </row>
    <row r="218" ht="10.95" customHeight="true" customFormat="true" s="9">
      <c r="A218" s="15">
        <v>46238</v>
      </c>
      <c r="B218" s="16" t="s">
        <v>162</v>
      </c>
      <c r="C218" s="16" t="s">
        <v>177</v>
      </c>
      <c r="D218" s="16"/>
      <c r="E218" s="17">
        <v>0</v>
      </c>
      <c r="F218" s="17">
        <v>18.5000</v>
      </c>
      <c r="G218" s="17">
        <f ca="1">((G217 + E218) - F218)</f>
        <v>0</v>
      </c>
      <c r="H218" s="17">
        <v>-18.5000</v>
      </c>
      <c r="I218" s="17">
        <v>0</v>
      </c>
    </row>
    <row r="219" ht="10.95" customHeight="true" customFormat="true" s="9">
      <c r="A219" s="15">
        <v>46239</v>
      </c>
      <c r="B219" s="16" t="s">
        <v>88</v>
      </c>
      <c r="C219" s="16" t="s">
        <v>113</v>
      </c>
      <c r="D219" s="16" t="s">
        <v>97</v>
      </c>
      <c r="E219" s="17">
        <v>1485.0000</v>
      </c>
      <c r="F219" s="17">
        <v>0</v>
      </c>
      <c r="G219" s="17">
        <f ca="1">((G218 + E219) - F219)</f>
        <v>0</v>
      </c>
      <c r="H219" s="17">
        <v>1485.0000</v>
      </c>
      <c r="I219" s="17">
        <v>0</v>
      </c>
    </row>
    <row r="220" ht="10.95" customHeight="true" customFormat="true" s="9">
      <c r="A220" s="15">
        <v>46239</v>
      </c>
      <c r="B220" s="16" t="s">
        <v>16</v>
      </c>
      <c r="C220" s="16" t="s">
        <v>31</v>
      </c>
      <c r="D220" s="16" t="s">
        <v>188</v>
      </c>
      <c r="E220" s="17">
        <v>0</v>
      </c>
      <c r="F220" s="17">
        <v>974.6000</v>
      </c>
      <c r="G220" s="17">
        <f ca="1">((G219 + E220) - F220)</f>
        <v>0</v>
      </c>
      <c r="H220" s="17">
        <v>-974.6000</v>
      </c>
      <c r="I220" s="17">
        <v>0</v>
      </c>
    </row>
    <row r="221" ht="10.95" customHeight="true" customFormat="true" s="9">
      <c r="A221" s="15">
        <v>46239</v>
      </c>
      <c r="B221" s="16" t="s">
        <v>88</v>
      </c>
      <c r="C221" s="16" t="s">
        <v>114</v>
      </c>
      <c r="D221" s="16" t="s">
        <v>108</v>
      </c>
      <c r="E221" s="17">
        <v>275.0000</v>
      </c>
      <c r="F221" s="17">
        <v>0</v>
      </c>
      <c r="G221" s="17">
        <f ca="1">((G220 + E221) - F221)</f>
        <v>0</v>
      </c>
      <c r="H221" s="17">
        <v>275.0000</v>
      </c>
      <c r="I221" s="17">
        <v>0</v>
      </c>
    </row>
    <row r="222" ht="10.95" customHeight="true" customFormat="true" s="9">
      <c r="A222" s="15">
        <v>46239</v>
      </c>
      <c r="B222" s="16" t="s">
        <v>162</v>
      </c>
      <c r="C222" s="16" t="s">
        <v>189</v>
      </c>
      <c r="D222" s="16"/>
      <c r="E222" s="17">
        <v>0</v>
      </c>
      <c r="F222" s="17">
        <v>45.0000</v>
      </c>
      <c r="G222" s="17">
        <f ca="1">((G221 + E222) - F222)</f>
        <v>0</v>
      </c>
      <c r="H222" s="17">
        <v>-45.0000</v>
      </c>
      <c r="I222" s="17">
        <v>0</v>
      </c>
    </row>
    <row r="223" ht="10.95" customHeight="true" customFormat="true" s="9">
      <c r="A223" s="15">
        <v>46239</v>
      </c>
      <c r="B223" s="16" t="s">
        <v>88</v>
      </c>
      <c r="C223" s="16" t="s">
        <v>118</v>
      </c>
      <c r="D223" s="16" t="s">
        <v>190</v>
      </c>
      <c r="E223" s="17">
        <v>850.0000</v>
      </c>
      <c r="F223" s="17">
        <v>0</v>
      </c>
      <c r="G223" s="17">
        <f ca="1">((G222 + E223) - F223)</f>
        <v>0</v>
      </c>
      <c r="H223" s="17">
        <v>850.0000</v>
      </c>
      <c r="I223" s="17">
        <v>0</v>
      </c>
    </row>
    <row r="224" ht="10.95" customHeight="true" customFormat="true" s="9">
      <c r="A224" s="15">
        <v>46244</v>
      </c>
      <c r="B224" s="16" t="s">
        <v>88</v>
      </c>
      <c r="C224" s="16" t="s">
        <v>119</v>
      </c>
      <c r="D224" s="16" t="s">
        <v>191</v>
      </c>
      <c r="E224" s="17">
        <v>1155.0000</v>
      </c>
      <c r="F224" s="17">
        <v>0</v>
      </c>
      <c r="G224" s="17">
        <f ca="1">((G223 + E224) - F224)</f>
        <v>0</v>
      </c>
      <c r="H224" s="17">
        <v>1155.0000</v>
      </c>
      <c r="I224" s="17">
        <v>0</v>
      </c>
    </row>
    <row r="225" ht="10.95" customHeight="true" customFormat="true" s="9">
      <c r="A225" s="15">
        <v>46247</v>
      </c>
      <c r="B225" s="16" t="s">
        <v>162</v>
      </c>
      <c r="C225" s="16" t="s">
        <v>163</v>
      </c>
      <c r="D225" s="16"/>
      <c r="E225" s="17">
        <v>0</v>
      </c>
      <c r="F225" s="17">
        <v>13.2000</v>
      </c>
      <c r="G225" s="17">
        <f ca="1">((G224 + E225) - F225)</f>
        <v>0</v>
      </c>
      <c r="H225" s="17">
        <v>-13.2000</v>
      </c>
      <c r="I225" s="17">
        <v>0</v>
      </c>
    </row>
    <row r="226" ht="10.95" customHeight="true" customFormat="true" s="9">
      <c r="A226" s="15">
        <v>46250</v>
      </c>
      <c r="B226" s="16" t="s">
        <v>162</v>
      </c>
      <c r="C226" s="16" t="s">
        <v>187</v>
      </c>
      <c r="D226" s="16" t="s">
        <v>185</v>
      </c>
      <c r="E226" s="17">
        <v>0</v>
      </c>
      <c r="F226" s="17">
        <v>1395.0000</v>
      </c>
      <c r="G226" s="17">
        <f ca="1">((G225 + E226) - F226)</f>
        <v>0</v>
      </c>
      <c r="H226" s="17">
        <v>-1395.0000</v>
      </c>
      <c r="I226" s="17">
        <v>0</v>
      </c>
    </row>
    <row r="227" ht="10.95" customHeight="true" customFormat="true" s="9">
      <c r="A227" s="15">
        <v>46250</v>
      </c>
      <c r="B227" s="16" t="s">
        <v>88</v>
      </c>
      <c r="C227" s="16" t="s">
        <v>121</v>
      </c>
      <c r="D227" s="16" t="s">
        <v>192</v>
      </c>
      <c r="E227" s="17">
        <v>6160.0000</v>
      </c>
      <c r="F227" s="17">
        <v>0</v>
      </c>
      <c r="G227" s="17">
        <f ca="1">((G226 + E227) - F227)</f>
        <v>0</v>
      </c>
      <c r="H227" s="17">
        <v>6160.0000</v>
      </c>
      <c r="I227" s="17">
        <v>0</v>
      </c>
    </row>
    <row r="228" ht="10.95" customHeight="true" customFormat="true" s="9">
      <c r="A228" s="15">
        <v>46250</v>
      </c>
      <c r="B228" s="16" t="s">
        <v>16</v>
      </c>
      <c r="C228" s="16" t="s">
        <v>34</v>
      </c>
      <c r="D228" s="16" t="s">
        <v>193</v>
      </c>
      <c r="E228" s="17">
        <v>0</v>
      </c>
      <c r="F228" s="17">
        <v>75.9000</v>
      </c>
      <c r="G228" s="17">
        <f ca="1">((G227 + E228) - F228)</f>
        <v>0</v>
      </c>
      <c r="H228" s="17">
        <v>-75.9000</v>
      </c>
      <c r="I228" s="17">
        <v>0</v>
      </c>
    </row>
    <row r="229" ht="10.95" customHeight="true" customFormat="true" s="9">
      <c r="A229" s="15">
        <v>46250</v>
      </c>
      <c r="B229" s="16" t="s">
        <v>162</v>
      </c>
      <c r="C229" s="16" t="s">
        <v>184</v>
      </c>
      <c r="D229" s="16" t="s">
        <v>185</v>
      </c>
      <c r="E229" s="17">
        <v>0</v>
      </c>
      <c r="F229" s="17">
        <v>1860.0000</v>
      </c>
      <c r="G229" s="17">
        <f ca="1">((G228 + E229) - F229)</f>
        <v>0</v>
      </c>
      <c r="H229" s="17">
        <v>-1860.0000</v>
      </c>
      <c r="I229" s="17">
        <v>0</v>
      </c>
    </row>
    <row r="230" ht="10.95" customHeight="true" customFormat="true" s="9">
      <c r="A230" s="15">
        <v>46250</v>
      </c>
      <c r="B230" s="16" t="s">
        <v>16</v>
      </c>
      <c r="C230" s="16" t="s">
        <v>35</v>
      </c>
      <c r="D230" s="16" t="s">
        <v>193</v>
      </c>
      <c r="E230" s="17">
        <v>0</v>
      </c>
      <c r="F230" s="17">
        <v>35.7500</v>
      </c>
      <c r="G230" s="17">
        <f ca="1">((G229 + E230) - F230)</f>
        <v>0</v>
      </c>
      <c r="H230" s="17">
        <v>-35.7500</v>
      </c>
      <c r="I230" s="17">
        <v>0</v>
      </c>
    </row>
    <row r="231" ht="10.95" customHeight="true" customFormat="true" s="9">
      <c r="A231" s="15">
        <v>46250</v>
      </c>
      <c r="B231" s="16" t="s">
        <v>16</v>
      </c>
      <c r="C231" s="16" t="s">
        <v>36</v>
      </c>
      <c r="D231" s="16" t="s">
        <v>193</v>
      </c>
      <c r="E231" s="17">
        <v>0</v>
      </c>
      <c r="F231" s="17">
        <v>385.0000</v>
      </c>
      <c r="G231" s="17">
        <f ca="1">((G230 + E231) - F231)</f>
        <v>0</v>
      </c>
      <c r="H231" s="17">
        <v>-385.0000</v>
      </c>
      <c r="I231" s="17">
        <v>0</v>
      </c>
    </row>
    <row r="232" ht="10.95" customHeight="true" customFormat="true" s="9">
      <c r="A232" s="15">
        <v>46250</v>
      </c>
      <c r="B232" s="16" t="s">
        <v>162</v>
      </c>
      <c r="C232" s="16" t="s">
        <v>186</v>
      </c>
      <c r="D232" s="16" t="s">
        <v>185</v>
      </c>
      <c r="E232" s="17">
        <v>0</v>
      </c>
      <c r="F232" s="17">
        <v>1938.0000</v>
      </c>
      <c r="G232" s="17">
        <f ca="1">((G231 + E232) - F232)</f>
        <v>0</v>
      </c>
      <c r="H232" s="17">
        <v>-1938.0000</v>
      </c>
      <c r="I232" s="17">
        <v>0</v>
      </c>
    </row>
    <row r="233" ht="10.95" customHeight="true" customFormat="true" s="9">
      <c r="A233" s="15">
        <v>46251</v>
      </c>
      <c r="B233" s="16" t="s">
        <v>88</v>
      </c>
      <c r="C233" s="16" t="s">
        <v>17</v>
      </c>
      <c r="D233" s="16" t="s">
        <v>194</v>
      </c>
      <c r="E233" s="17">
        <v>1469.6000</v>
      </c>
      <c r="F233" s="17">
        <v>0</v>
      </c>
      <c r="G233" s="17">
        <f ca="1">((G232 + E233) - F233)</f>
        <v>0</v>
      </c>
      <c r="H233" s="17">
        <v>1469.6000</v>
      </c>
      <c r="I233" s="17">
        <v>0</v>
      </c>
    </row>
    <row r="234" ht="10.95" customHeight="true" customFormat="true" s="9">
      <c r="A234" s="15">
        <v>46251</v>
      </c>
      <c r="B234" s="16" t="s">
        <v>162</v>
      </c>
      <c r="C234" s="16" t="s">
        <v>168</v>
      </c>
      <c r="D234" s="16"/>
      <c r="E234" s="17">
        <v>0</v>
      </c>
      <c r="F234" s="17">
        <v>10.5000</v>
      </c>
      <c r="G234" s="17">
        <f ca="1">((G233 + E234) - F234)</f>
        <v>0</v>
      </c>
      <c r="H234" s="17">
        <v>-10.5000</v>
      </c>
      <c r="I234" s="17">
        <v>0</v>
      </c>
    </row>
    <row r="235" ht="10.95" customHeight="true" customFormat="true" s="9">
      <c r="A235" s="15">
        <v>46251</v>
      </c>
      <c r="B235" s="16" t="s">
        <v>162</v>
      </c>
      <c r="C235" s="16" t="s">
        <v>189</v>
      </c>
      <c r="D235" s="16"/>
      <c r="E235" s="17">
        <v>0</v>
      </c>
      <c r="F235" s="17">
        <v>65.0000</v>
      </c>
      <c r="G235" s="17">
        <f ca="1">((G234 + E235) - F235)</f>
        <v>0</v>
      </c>
      <c r="H235" s="17">
        <v>-65.0000</v>
      </c>
      <c r="I235" s="17">
        <v>0</v>
      </c>
    </row>
    <row r="236" ht="10.95" customHeight="true" customFormat="true" s="9">
      <c r="A236" s="15">
        <v>46252</v>
      </c>
      <c r="B236" s="16" t="s">
        <v>162</v>
      </c>
      <c r="C236" s="16" t="s">
        <v>177</v>
      </c>
      <c r="D236" s="16"/>
      <c r="E236" s="17">
        <v>0</v>
      </c>
      <c r="F236" s="17">
        <v>45.0000</v>
      </c>
      <c r="G236" s="17">
        <f ca="1">((G235 + E236) - F236)</f>
        <v>0</v>
      </c>
      <c r="H236" s="17">
        <v>-45.0000</v>
      </c>
      <c r="I236" s="17">
        <v>0</v>
      </c>
    </row>
    <row r="237" ht="10.95" customHeight="true" customFormat="true" s="9">
      <c r="A237" s="15">
        <v>46255</v>
      </c>
      <c r="B237" s="16" t="s">
        <v>162</v>
      </c>
      <c r="C237" s="16" t="s">
        <v>176</v>
      </c>
      <c r="D237" s="16"/>
      <c r="E237" s="17">
        <v>0</v>
      </c>
      <c r="F237" s="17">
        <v>1650.0000</v>
      </c>
      <c r="G237" s="17">
        <f ca="1">((G236 + E237) - F237)</f>
        <v>0</v>
      </c>
      <c r="H237" s="17">
        <v>-1650.0000</v>
      </c>
      <c r="I237" s="17">
        <v>0</v>
      </c>
    </row>
    <row r="238" ht="10.95" customHeight="true" customFormat="true" s="9">
      <c r="A238" s="15">
        <v>46257</v>
      </c>
      <c r="B238" s="16" t="s">
        <v>162</v>
      </c>
      <c r="C238" s="16" t="s">
        <v>175</v>
      </c>
      <c r="D238" s="16"/>
      <c r="E238" s="17">
        <v>0</v>
      </c>
      <c r="F238" s="17">
        <v>39.5000</v>
      </c>
      <c r="G238" s="17">
        <f ca="1">((G237 + E238) - F238)</f>
        <v>0</v>
      </c>
      <c r="H238" s="17">
        <v>-39.5000</v>
      </c>
      <c r="I238" s="17">
        <v>0</v>
      </c>
    </row>
    <row r="239" ht="10.95" customHeight="true" customFormat="true" s="9">
      <c r="A239" s="15">
        <v>46260</v>
      </c>
      <c r="B239" s="16" t="s">
        <v>88</v>
      </c>
      <c r="C239" s="16" t="s">
        <v>124</v>
      </c>
      <c r="D239" s="16" t="s">
        <v>195</v>
      </c>
      <c r="E239" s="17">
        <v>550.0000</v>
      </c>
      <c r="F239" s="17">
        <v>0</v>
      </c>
      <c r="G239" s="17">
        <f ca="1">((G238 + E239) - F239)</f>
        <v>0</v>
      </c>
      <c r="H239" s="17">
        <v>550.0000</v>
      </c>
      <c r="I239" s="17">
        <v>0</v>
      </c>
    </row>
    <row r="240" ht="10.95" customHeight="true" customFormat="true" s="9">
      <c r="A240" s="15">
        <v>46260</v>
      </c>
      <c r="B240" s="16" t="s">
        <v>88</v>
      </c>
      <c r="C240" s="16" t="s">
        <v>126</v>
      </c>
      <c r="D240" s="16" t="s">
        <v>196</v>
      </c>
      <c r="E240" s="17">
        <v>550.0000</v>
      </c>
      <c r="F240" s="17">
        <v>0</v>
      </c>
      <c r="G240" s="17">
        <f ca="1">((G239 + E240) - F240)</f>
        <v>0</v>
      </c>
      <c r="H240" s="17">
        <v>550.0000</v>
      </c>
      <c r="I240" s="17">
        <v>0</v>
      </c>
    </row>
    <row r="241" ht="10.95" customHeight="true" customFormat="true" s="9">
      <c r="A241" s="15">
        <v>46260</v>
      </c>
      <c r="B241" s="16" t="s">
        <v>88</v>
      </c>
      <c r="C241" s="16" t="s">
        <v>127</v>
      </c>
      <c r="D241" s="16" t="s">
        <v>197</v>
      </c>
      <c r="E241" s="17">
        <v>550.0000</v>
      </c>
      <c r="F241" s="17">
        <v>0</v>
      </c>
      <c r="G241" s="17">
        <f ca="1">((G240 + E241) - F241)</f>
        <v>0</v>
      </c>
      <c r="H241" s="17">
        <v>550.0000</v>
      </c>
      <c r="I241" s="17">
        <v>0</v>
      </c>
    </row>
    <row r="242" ht="10.95" customHeight="true" customFormat="true" s="9">
      <c r="A242" s="15">
        <v>46260</v>
      </c>
      <c r="B242" s="16" t="s">
        <v>88</v>
      </c>
      <c r="C242" s="16" t="s">
        <v>128</v>
      </c>
      <c r="D242" s="16" t="s">
        <v>198</v>
      </c>
      <c r="E242" s="17">
        <v>550.0000</v>
      </c>
      <c r="F242" s="17">
        <v>0</v>
      </c>
      <c r="G242" s="17">
        <f ca="1">((G241 + E242) - F242)</f>
        <v>0</v>
      </c>
      <c r="H242" s="17">
        <v>550.0000</v>
      </c>
      <c r="I242" s="17">
        <v>0</v>
      </c>
    </row>
    <row r="243" ht="10.95" customHeight="true" customFormat="true" s="9">
      <c r="A243" s="15">
        <v>46264</v>
      </c>
      <c r="B243" s="16" t="s">
        <v>162</v>
      </c>
      <c r="C243" s="16" t="s">
        <v>184</v>
      </c>
      <c r="D243" s="16"/>
      <c r="E243" s="17">
        <v>0</v>
      </c>
      <c r="F243" s="17">
        <v>1860.0000</v>
      </c>
      <c r="G243" s="17">
        <f ca="1">((G242 + E243) - F243)</f>
        <v>0</v>
      </c>
      <c r="H243" s="17">
        <v>-1860.0000</v>
      </c>
      <c r="I243" s="17">
        <v>0</v>
      </c>
    </row>
    <row r="244" ht="10.95" customHeight="true" customFormat="true" s="9">
      <c r="A244" s="15">
        <v>46264</v>
      </c>
      <c r="B244" s="16" t="s">
        <v>162</v>
      </c>
      <c r="C244" s="16" t="s">
        <v>186</v>
      </c>
      <c r="D244" s="16"/>
      <c r="E244" s="17">
        <v>0</v>
      </c>
      <c r="F244" s="17">
        <v>1938.0000</v>
      </c>
      <c r="G244" s="17">
        <f ca="1">((G243 + E244) - F244)</f>
        <v>0</v>
      </c>
      <c r="H244" s="17">
        <v>-1938.0000</v>
      </c>
      <c r="I244" s="17">
        <v>0</v>
      </c>
    </row>
    <row r="245" ht="10.95" customHeight="true" customFormat="true" s="9">
      <c r="A245" s="15">
        <v>46264</v>
      </c>
      <c r="B245" s="16" t="s">
        <v>162</v>
      </c>
      <c r="C245" s="16" t="s">
        <v>187</v>
      </c>
      <c r="D245" s="16"/>
      <c r="E245" s="17">
        <v>0</v>
      </c>
      <c r="F245" s="17">
        <v>1395.0000</v>
      </c>
      <c r="G245" s="17">
        <f ca="1">((G244 + E245) - F245)</f>
        <v>0</v>
      </c>
      <c r="H245" s="17">
        <v>-1395.0000</v>
      </c>
      <c r="I245" s="17">
        <v>0</v>
      </c>
    </row>
    <row r="246" ht="10.95" customHeight="true" customFormat="true" s="9">
      <c r="A246" s="15">
        <v>46267</v>
      </c>
      <c r="B246" s="16" t="s">
        <v>16</v>
      </c>
      <c r="C246" s="16" t="s">
        <v>46</v>
      </c>
      <c r="D246" s="16" t="s">
        <v>199</v>
      </c>
      <c r="E246" s="17">
        <v>0</v>
      </c>
      <c r="F246" s="17">
        <v>104.5000</v>
      </c>
      <c r="G246" s="17">
        <f ca="1">((G245 + E246) - F246)</f>
        <v>0</v>
      </c>
      <c r="H246" s="17">
        <v>-104.5000</v>
      </c>
      <c r="I246" s="17">
        <v>0</v>
      </c>
    </row>
    <row r="247" ht="10.95" customHeight="true" customFormat="true" s="9">
      <c r="A247" s="15">
        <v>46267</v>
      </c>
      <c r="B247" s="16" t="s">
        <v>16</v>
      </c>
      <c r="C247" s="16" t="s">
        <v>47</v>
      </c>
      <c r="D247" s="16" t="s">
        <v>199</v>
      </c>
      <c r="E247" s="17">
        <v>0</v>
      </c>
      <c r="F247" s="17">
        <v>250.0000</v>
      </c>
      <c r="G247" s="17">
        <f ca="1">((G246 + E247) - F247)</f>
        <v>0</v>
      </c>
      <c r="H247" s="17">
        <v>-250.0000</v>
      </c>
      <c r="I247" s="17">
        <v>0</v>
      </c>
    </row>
    <row r="248" ht="10.95" customHeight="true" customFormat="true" s="9">
      <c r="A248" s="15">
        <v>46267</v>
      </c>
      <c r="B248" s="16" t="s">
        <v>16</v>
      </c>
      <c r="C248" s="16" t="s">
        <v>48</v>
      </c>
      <c r="D248" s="16" t="s">
        <v>199</v>
      </c>
      <c r="E248" s="17">
        <v>0</v>
      </c>
      <c r="F248" s="17">
        <v>170.5000</v>
      </c>
      <c r="G248" s="17">
        <f ca="1">((G247 + E248) - F248)</f>
        <v>0</v>
      </c>
      <c r="H248" s="17">
        <v>-170.5000</v>
      </c>
      <c r="I248" s="17">
        <v>0</v>
      </c>
    </row>
    <row r="249" ht="10.95" customHeight="true" customFormat="true" s="9">
      <c r="A249" s="15">
        <v>46267</v>
      </c>
      <c r="B249" s="16" t="s">
        <v>16</v>
      </c>
      <c r="C249" s="16" t="s">
        <v>49</v>
      </c>
      <c r="D249" s="16" t="s">
        <v>199</v>
      </c>
      <c r="E249" s="17">
        <v>0</v>
      </c>
      <c r="F249" s="17">
        <v>137.8900</v>
      </c>
      <c r="G249" s="17">
        <f ca="1">((G248 + E249) - F249)</f>
        <v>0</v>
      </c>
      <c r="H249" s="17">
        <v>-137.8900</v>
      </c>
      <c r="I249" s="17">
        <v>0</v>
      </c>
    </row>
    <row r="250" ht="10.95" customHeight="true" customFormat="true" s="9">
      <c r="A250" s="15">
        <v>46267</v>
      </c>
      <c r="B250" s="16" t="s">
        <v>200</v>
      </c>
      <c r="C250" s="16" t="s">
        <v>201</v>
      </c>
      <c r="D250" s="16"/>
      <c r="E250" s="17">
        <v>0</v>
      </c>
      <c r="F250" s="17">
        <v>0.0900</v>
      </c>
      <c r="G250" s="17">
        <f ca="1">((G249 + E250) - F250)</f>
        <v>0</v>
      </c>
      <c r="H250" s="17">
        <v>-0.0900</v>
      </c>
      <c r="I250" s="17">
        <v>0</v>
      </c>
    </row>
    <row r="251" ht="10.95" customHeight="true" customFormat="true" s="9">
      <c r="A251" s="15">
        <v>46270</v>
      </c>
      <c r="B251" s="16" t="s">
        <v>88</v>
      </c>
      <c r="C251" s="16" t="s">
        <v>89</v>
      </c>
      <c r="D251" s="16" t="s">
        <v>202</v>
      </c>
      <c r="E251" s="17">
        <v>2500.0000</v>
      </c>
      <c r="F251" s="17">
        <v>0</v>
      </c>
      <c r="G251" s="17">
        <f ca="1">((G250 + E251) - F251)</f>
        <v>0</v>
      </c>
      <c r="H251" s="17">
        <v>2500.0000</v>
      </c>
      <c r="I251" s="17">
        <v>0</v>
      </c>
    </row>
    <row r="252" ht="10.95" customHeight="true" customFormat="true" s="9">
      <c r="A252" s="15">
        <v>46272</v>
      </c>
      <c r="B252" s="16" t="s">
        <v>162</v>
      </c>
      <c r="C252" s="16" t="s">
        <v>177</v>
      </c>
      <c r="D252" s="16"/>
      <c r="E252" s="17">
        <v>0</v>
      </c>
      <c r="F252" s="17">
        <v>15.9900</v>
      </c>
      <c r="G252" s="17">
        <f ca="1">((G251 + E252) - F252)</f>
        <v>0</v>
      </c>
      <c r="H252" s="17">
        <v>-15.9900</v>
      </c>
      <c r="I252" s="17">
        <v>0</v>
      </c>
    </row>
    <row r="253" ht="10.95" customHeight="true" customFormat="true" s="9">
      <c r="A253" s="15">
        <v>46277</v>
      </c>
      <c r="B253" s="16" t="s">
        <v>162</v>
      </c>
      <c r="C253" s="16" t="s">
        <v>175</v>
      </c>
      <c r="D253" s="16"/>
      <c r="E253" s="17">
        <v>0</v>
      </c>
      <c r="F253" s="17">
        <v>11.2000</v>
      </c>
      <c r="G253" s="17">
        <f ca="1">((G252 + E253) - F253)</f>
        <v>0</v>
      </c>
      <c r="H253" s="17">
        <v>-11.2000</v>
      </c>
      <c r="I253" s="17">
        <v>0</v>
      </c>
    </row>
    <row r="254" ht="10.95" customHeight="true" customFormat="true" s="9">
      <c r="A254" s="15">
        <v>46278</v>
      </c>
      <c r="B254" s="16" t="s">
        <v>162</v>
      </c>
      <c r="C254" s="16" t="s">
        <v>186</v>
      </c>
      <c r="D254" s="16" t="s">
        <v>185</v>
      </c>
      <c r="E254" s="17">
        <v>0</v>
      </c>
      <c r="F254" s="17">
        <v>1938.0000</v>
      </c>
      <c r="G254" s="17">
        <f ca="1">((G253 + E254) - F254)</f>
        <v>0</v>
      </c>
      <c r="H254" s="17">
        <v>-1938.0000</v>
      </c>
      <c r="I254" s="17">
        <v>0</v>
      </c>
    </row>
    <row r="255" ht="10.95" customHeight="true" customFormat="true" s="9">
      <c r="A255" s="15">
        <v>46278</v>
      </c>
      <c r="B255" s="16" t="s">
        <v>162</v>
      </c>
      <c r="C255" s="16" t="s">
        <v>184</v>
      </c>
      <c r="D255" s="16" t="s">
        <v>185</v>
      </c>
      <c r="E255" s="17">
        <v>0</v>
      </c>
      <c r="F255" s="17">
        <v>1860.0000</v>
      </c>
      <c r="G255" s="17">
        <f ca="1">((G254 + E255) - F255)</f>
        <v>0</v>
      </c>
      <c r="H255" s="17">
        <v>-1860.0000</v>
      </c>
      <c r="I255" s="17">
        <v>0</v>
      </c>
    </row>
    <row r="256" ht="10.95" customHeight="true" customFormat="true" s="9">
      <c r="A256" s="15">
        <v>46278</v>
      </c>
      <c r="B256" s="16" t="s">
        <v>162</v>
      </c>
      <c r="C256" s="16" t="s">
        <v>187</v>
      </c>
      <c r="D256" s="16" t="s">
        <v>185</v>
      </c>
      <c r="E256" s="17">
        <v>0</v>
      </c>
      <c r="F256" s="17">
        <v>1395.0000</v>
      </c>
      <c r="G256" s="17">
        <f ca="1">((G255 + E256) - F256)</f>
        <v>0</v>
      </c>
      <c r="H256" s="17">
        <v>-1395.0000</v>
      </c>
      <c r="I256" s="17">
        <v>0</v>
      </c>
    </row>
    <row r="257" ht="10.95" customHeight="true" customFormat="true" s="9">
      <c r="A257" s="15">
        <v>46281</v>
      </c>
      <c r="B257" s="16" t="s">
        <v>88</v>
      </c>
      <c r="C257" s="16" t="s">
        <v>89</v>
      </c>
      <c r="D257" s="16" t="s">
        <v>203</v>
      </c>
      <c r="E257" s="17">
        <v>1735.0000</v>
      </c>
      <c r="F257" s="17">
        <v>0</v>
      </c>
      <c r="G257" s="17">
        <f ca="1">((G256 + E257) - F257)</f>
        <v>0</v>
      </c>
      <c r="H257" s="17">
        <v>1735.0000</v>
      </c>
      <c r="I257" s="17">
        <v>0</v>
      </c>
    </row>
    <row r="258" ht="10.95" customHeight="true" customFormat="true" s="9">
      <c r="A258" s="15">
        <v>46281</v>
      </c>
      <c r="B258" s="16" t="s">
        <v>16</v>
      </c>
      <c r="C258" s="16" t="s">
        <v>54</v>
      </c>
      <c r="D258" s="16" t="s">
        <v>204</v>
      </c>
      <c r="E258" s="17">
        <v>0</v>
      </c>
      <c r="F258" s="17">
        <v>148.5000</v>
      </c>
      <c r="G258" s="17">
        <f ca="1">((G257 + E258) - F258)</f>
        <v>0</v>
      </c>
      <c r="H258" s="17">
        <v>-148.5000</v>
      </c>
      <c r="I258" s="17">
        <v>0</v>
      </c>
    </row>
    <row r="259" ht="10.95" customHeight="true" customFormat="true" s="9">
      <c r="A259" s="15">
        <v>46281</v>
      </c>
      <c r="B259" s="16" t="s">
        <v>205</v>
      </c>
      <c r="C259" s="16" t="s">
        <v>206</v>
      </c>
      <c r="D259" s="16"/>
      <c r="E259" s="17">
        <v>0</v>
      </c>
      <c r="F259" s="17">
        <v>8.2000</v>
      </c>
      <c r="G259" s="17">
        <f ca="1">((G258 + E259) - F259)</f>
        <v>0</v>
      </c>
      <c r="H259" s="17">
        <v>-8.2000</v>
      </c>
      <c r="I259" s="17">
        <v>0</v>
      </c>
    </row>
    <row r="260" ht="10.95" customHeight="true" customFormat="true" s="9">
      <c r="A260" s="15">
        <v>46281</v>
      </c>
      <c r="B260" s="16" t="s">
        <v>16</v>
      </c>
      <c r="C260" s="16" t="s">
        <v>35</v>
      </c>
      <c r="D260" s="16" t="s">
        <v>204</v>
      </c>
      <c r="E260" s="17">
        <v>0</v>
      </c>
      <c r="F260" s="17">
        <v>35.7500</v>
      </c>
      <c r="G260" s="17">
        <f ca="1">((G259 + E260) - F260)</f>
        <v>0</v>
      </c>
      <c r="H260" s="17">
        <v>-35.7500</v>
      </c>
      <c r="I260" s="17">
        <v>0</v>
      </c>
    </row>
    <row r="261" ht="10.95" customHeight="true" customFormat="true" s="9">
      <c r="A261" s="15">
        <v>46281</v>
      </c>
      <c r="B261" s="16" t="s">
        <v>88</v>
      </c>
      <c r="C261" s="16" t="s">
        <v>134</v>
      </c>
      <c r="D261" s="16" t="s">
        <v>130</v>
      </c>
      <c r="E261" s="17">
        <v>1320.0000</v>
      </c>
      <c r="F261" s="17">
        <v>0</v>
      </c>
      <c r="G261" s="17">
        <f ca="1">((G260 + E261) - F261)</f>
        <v>0</v>
      </c>
      <c r="H261" s="17">
        <v>1320.0000</v>
      </c>
      <c r="I261" s="17">
        <v>0</v>
      </c>
    </row>
    <row r="262" ht="10.95" customHeight="true" customFormat="true" s="9">
      <c r="A262" s="15">
        <v>46281</v>
      </c>
      <c r="B262" s="16" t="s">
        <v>16</v>
      </c>
      <c r="C262" s="16" t="s">
        <v>34</v>
      </c>
      <c r="D262" s="16" t="s">
        <v>204</v>
      </c>
      <c r="E262" s="17">
        <v>0</v>
      </c>
      <c r="F262" s="17">
        <v>75.9000</v>
      </c>
      <c r="G262" s="17">
        <f ca="1">((G261 + E262) - F262)</f>
        <v>0</v>
      </c>
      <c r="H262" s="17">
        <v>-75.9000</v>
      </c>
      <c r="I262" s="17">
        <v>0</v>
      </c>
    </row>
    <row r="263" ht="10.95" customHeight="true" customFormat="true" s="9">
      <c r="A263" s="15">
        <v>46281</v>
      </c>
      <c r="B263" s="16" t="s">
        <v>88</v>
      </c>
      <c r="C263" s="16" t="s">
        <v>135</v>
      </c>
      <c r="D263" s="16" t="s">
        <v>207</v>
      </c>
      <c r="E263" s="17">
        <v>3575.0000</v>
      </c>
      <c r="F263" s="17">
        <v>0</v>
      </c>
      <c r="G263" s="17">
        <f ca="1">((G262 + E263) - F263)</f>
        <v>0</v>
      </c>
      <c r="H263" s="17">
        <v>3575.0000</v>
      </c>
      <c r="I263" s="17">
        <v>0</v>
      </c>
    </row>
    <row r="264" ht="10.95" customHeight="true" customFormat="true" s="9">
      <c r="A264" s="15">
        <v>46281</v>
      </c>
      <c r="B264" s="16" t="s">
        <v>16</v>
      </c>
      <c r="C264" s="16" t="s">
        <v>36</v>
      </c>
      <c r="D264" s="16" t="s">
        <v>204</v>
      </c>
      <c r="E264" s="17">
        <v>0</v>
      </c>
      <c r="F264" s="17">
        <v>324.5000</v>
      </c>
      <c r="G264" s="17">
        <f ca="1">((G263 + E264) - F264)</f>
        <v>0</v>
      </c>
      <c r="H264" s="17">
        <v>-324.5000</v>
      </c>
      <c r="I264" s="17">
        <v>0</v>
      </c>
    </row>
    <row r="265" ht="10.95" customHeight="true" customFormat="true" s="9">
      <c r="A265" s="15">
        <v>46281</v>
      </c>
      <c r="B265" s="16" t="s">
        <v>205</v>
      </c>
      <c r="C265" s="16" t="s">
        <v>208</v>
      </c>
      <c r="D265" s="16"/>
      <c r="E265" s="17">
        <v>0</v>
      </c>
      <c r="F265" s="17">
        <v>296.9500</v>
      </c>
      <c r="G265" s="17">
        <f ca="1">((G264 + E265) - F265)</f>
        <v>0</v>
      </c>
      <c r="H265" s="17">
        <v>-296.9500</v>
      </c>
      <c r="I265" s="17">
        <v>0</v>
      </c>
    </row>
    <row r="266" ht="10.95" customHeight="true" customFormat="true" s="9">
      <c r="A266" s="15">
        <v>46282</v>
      </c>
      <c r="B266" s="16" t="s">
        <v>162</v>
      </c>
      <c r="C266" s="16" t="s">
        <v>209</v>
      </c>
      <c r="D266" s="16"/>
      <c r="E266" s="17">
        <v>0</v>
      </c>
      <c r="F266" s="17">
        <v>10.5000</v>
      </c>
      <c r="G266" s="17">
        <f ca="1">((G265 + E266) - F266)</f>
        <v>0</v>
      </c>
      <c r="H266" s="17">
        <v>-10.5000</v>
      </c>
      <c r="I266" s="17">
        <v>0</v>
      </c>
    </row>
    <row r="267" ht="10.95" customHeight="true" customFormat="true" s="9">
      <c r="A267" s="15">
        <v>46282</v>
      </c>
      <c r="B267" s="16" t="s">
        <v>16</v>
      </c>
      <c r="C267" s="16" t="s">
        <v>56</v>
      </c>
      <c r="D267" s="16"/>
      <c r="E267" s="17">
        <v>0</v>
      </c>
      <c r="F267" s="17">
        <v>53.9000</v>
      </c>
      <c r="G267" s="17">
        <f ca="1">((G266 + E267) - F267)</f>
        <v>0</v>
      </c>
      <c r="H267" s="17">
        <v>-53.9000</v>
      </c>
      <c r="I267" s="17">
        <v>0</v>
      </c>
    </row>
    <row r="268" ht="10.95" customHeight="true" customFormat="true" s="9">
      <c r="A268" s="15">
        <v>46283</v>
      </c>
      <c r="B268" s="16" t="s">
        <v>162</v>
      </c>
      <c r="C268" s="16" t="s">
        <v>210</v>
      </c>
      <c r="D268" s="16"/>
      <c r="E268" s="17">
        <v>0</v>
      </c>
      <c r="F268" s="17">
        <v>12.0000</v>
      </c>
      <c r="G268" s="17">
        <f ca="1">((G267 + E268) - F268)</f>
        <v>0</v>
      </c>
      <c r="H268" s="17">
        <v>-12.0000</v>
      </c>
      <c r="I268" s="17">
        <v>0</v>
      </c>
    </row>
    <row r="269" ht="10.95" customHeight="true" customFormat="true" s="9">
      <c r="A269" s="15">
        <v>46284</v>
      </c>
      <c r="B269" s="16" t="s">
        <v>162</v>
      </c>
      <c r="C269" s="16" t="s">
        <v>210</v>
      </c>
      <c r="D269" s="16"/>
      <c r="E269" s="17">
        <v>0</v>
      </c>
      <c r="F269" s="17">
        <v>12.0000</v>
      </c>
      <c r="G269" s="17">
        <f ca="1">((G268 + E269) - F269)</f>
        <v>0</v>
      </c>
      <c r="H269" s="17">
        <v>-12.0000</v>
      </c>
      <c r="I269" s="17">
        <v>0</v>
      </c>
    </row>
    <row r="270" ht="10.95" customHeight="true" customFormat="true" s="9">
      <c r="A270" s="15">
        <v>46285</v>
      </c>
      <c r="B270" s="16" t="s">
        <v>162</v>
      </c>
      <c r="C270" s="16" t="s">
        <v>210</v>
      </c>
      <c r="D270" s="16"/>
      <c r="E270" s="17">
        <v>0</v>
      </c>
      <c r="F270" s="17">
        <v>12.0000</v>
      </c>
      <c r="G270" s="17">
        <f ca="1">((G269 + E270) - F270)</f>
        <v>0</v>
      </c>
      <c r="H270" s="17">
        <v>-12.0000</v>
      </c>
      <c r="I270" s="17">
        <v>0</v>
      </c>
    </row>
    <row r="271" ht="10.95" customHeight="true" customFormat="true" s="9">
      <c r="A271" s="15">
        <v>46286</v>
      </c>
      <c r="B271" s="16" t="s">
        <v>162</v>
      </c>
      <c r="C271" s="16" t="s">
        <v>176</v>
      </c>
      <c r="D271" s="16"/>
      <c r="E271" s="17">
        <v>0</v>
      </c>
      <c r="F271" s="17">
        <v>1650.0000</v>
      </c>
      <c r="G271" s="17">
        <f ca="1">((G270 + E271) - F271)</f>
        <v>0</v>
      </c>
      <c r="H271" s="17">
        <v>-1650.0000</v>
      </c>
      <c r="I271" s="17">
        <v>0</v>
      </c>
    </row>
    <row r="272" ht="10.95" customHeight="true" customFormat="true" s="9">
      <c r="A272" s="15">
        <v>46286</v>
      </c>
      <c r="B272" s="16" t="s">
        <v>162</v>
      </c>
      <c r="C272" s="16" t="s">
        <v>210</v>
      </c>
      <c r="D272" s="16"/>
      <c r="E272" s="17">
        <v>0</v>
      </c>
      <c r="F272" s="17">
        <v>12.0000</v>
      </c>
      <c r="G272" s="17">
        <f ca="1">((G271 + E272) - F272)</f>
        <v>0</v>
      </c>
      <c r="H272" s="17">
        <v>-12.0000</v>
      </c>
      <c r="I272" s="17">
        <v>0</v>
      </c>
    </row>
    <row r="273" ht="10.95" customHeight="true" customFormat="true" s="9">
      <c r="A273" s="15">
        <v>46288</v>
      </c>
      <c r="B273" s="16" t="s">
        <v>162</v>
      </c>
      <c r="C273" s="16" t="s">
        <v>189</v>
      </c>
      <c r="D273" s="16"/>
      <c r="E273" s="17">
        <v>0</v>
      </c>
      <c r="F273" s="17">
        <v>65.0000</v>
      </c>
      <c r="G273" s="17">
        <f ca="1">((G272 + E273) - F273)</f>
        <v>0</v>
      </c>
      <c r="H273" s="17">
        <v>-65.0000</v>
      </c>
      <c r="I273" s="17">
        <v>0</v>
      </c>
    </row>
    <row r="274" ht="10.95" customHeight="true" customFormat="true" s="9">
      <c r="A274" s="15">
        <v>46288</v>
      </c>
      <c r="B274" s="16" t="s">
        <v>162</v>
      </c>
      <c r="C274" s="16" t="s">
        <v>210</v>
      </c>
      <c r="D274" s="16"/>
      <c r="E274" s="17">
        <v>0</v>
      </c>
      <c r="F274" s="17">
        <v>12.0000</v>
      </c>
      <c r="G274" s="17">
        <f ca="1">((G273 + E274) - F274)</f>
        <v>0</v>
      </c>
      <c r="H274" s="17">
        <v>-12.0000</v>
      </c>
      <c r="I274" s="17">
        <v>0</v>
      </c>
    </row>
    <row r="275" ht="10.95" customHeight="true" customFormat="true" s="9">
      <c r="A275" s="15">
        <v>46289</v>
      </c>
      <c r="B275" s="16" t="s">
        <v>162</v>
      </c>
      <c r="C275" s="16" t="s">
        <v>210</v>
      </c>
      <c r="D275" s="16"/>
      <c r="E275" s="17">
        <v>0</v>
      </c>
      <c r="F275" s="17">
        <v>12.0000</v>
      </c>
      <c r="G275" s="17">
        <f ca="1">((G274 + E275) - F275)</f>
        <v>0</v>
      </c>
      <c r="H275" s="17">
        <v>-12.0000</v>
      </c>
      <c r="I275" s="17">
        <v>0</v>
      </c>
    </row>
    <row r="276" ht="10.95" customHeight="true" customFormat="true" s="9">
      <c r="A276" s="15">
        <v>46290</v>
      </c>
      <c r="B276" s="16" t="s">
        <v>162</v>
      </c>
      <c r="C276" s="16" t="s">
        <v>210</v>
      </c>
      <c r="D276" s="16"/>
      <c r="E276" s="17">
        <v>0</v>
      </c>
      <c r="F276" s="17">
        <v>12.0000</v>
      </c>
      <c r="G276" s="17">
        <f ca="1">((G275 + E276) - F276)</f>
        <v>0</v>
      </c>
      <c r="H276" s="17">
        <v>-12.0000</v>
      </c>
      <c r="I276" s="17">
        <v>0</v>
      </c>
    </row>
    <row r="277" ht="10.95" customHeight="true" customFormat="true" s="9">
      <c r="A277" s="15">
        <v>46291</v>
      </c>
      <c r="B277" s="16" t="s">
        <v>88</v>
      </c>
      <c r="C277" s="16" t="s">
        <v>136</v>
      </c>
      <c r="D277" s="16" t="s">
        <v>133</v>
      </c>
      <c r="E277" s="17">
        <v>550.0000</v>
      </c>
      <c r="F277" s="17">
        <v>0</v>
      </c>
      <c r="G277" s="17">
        <f ca="1">((G276 + E277) - F277)</f>
        <v>0</v>
      </c>
      <c r="H277" s="17">
        <v>550.0000</v>
      </c>
      <c r="I277" s="17">
        <v>0</v>
      </c>
    </row>
    <row r="278" ht="10.95" customHeight="true" customFormat="true" s="9">
      <c r="A278" s="15">
        <v>46291</v>
      </c>
      <c r="B278" s="16" t="s">
        <v>211</v>
      </c>
      <c r="C278" s="16" t="s">
        <v>212</v>
      </c>
      <c r="D278" s="16" t="s">
        <v>213</v>
      </c>
      <c r="E278" s="17">
        <v>3500.0000</v>
      </c>
      <c r="F278" s="17">
        <v>0</v>
      </c>
      <c r="G278" s="17">
        <f ca="1">((G277 + E278) - F278)</f>
        <v>0</v>
      </c>
      <c r="H278" s="17">
        <v>3500.0000</v>
      </c>
      <c r="I278" s="17">
        <v>0</v>
      </c>
    </row>
    <row r="279" ht="10.95" customHeight="true" customFormat="true" s="9">
      <c r="A279" s="15">
        <v>46291</v>
      </c>
      <c r="B279" s="16" t="s">
        <v>162</v>
      </c>
      <c r="C279" s="16" t="s">
        <v>210</v>
      </c>
      <c r="D279" s="16"/>
      <c r="E279" s="17">
        <v>0</v>
      </c>
      <c r="F279" s="17">
        <v>12.0000</v>
      </c>
      <c r="G279" s="17">
        <f ca="1">((G278 + E279) - F279)</f>
        <v>0</v>
      </c>
      <c r="H279" s="17">
        <v>-12.0000</v>
      </c>
      <c r="I279" s="17">
        <v>0</v>
      </c>
    </row>
    <row r="280" ht="10.95" customHeight="true" customFormat="true" s="9">
      <c r="A280" s="15">
        <v>46292</v>
      </c>
      <c r="B280" s="16" t="s">
        <v>162</v>
      </c>
      <c r="C280" s="16" t="s">
        <v>184</v>
      </c>
      <c r="D280" s="16" t="s">
        <v>185</v>
      </c>
      <c r="E280" s="17">
        <v>0</v>
      </c>
      <c r="F280" s="17">
        <v>1860.0000</v>
      </c>
      <c r="G280" s="17">
        <f ca="1">((G279 + E280) - F280)</f>
        <v>0</v>
      </c>
      <c r="H280" s="17">
        <v>-1860.0000</v>
      </c>
      <c r="I280" s="17">
        <v>0</v>
      </c>
    </row>
    <row r="281" ht="10.95" customHeight="true" customFormat="true" s="9">
      <c r="A281" s="15">
        <v>46292</v>
      </c>
      <c r="B281" s="16" t="s">
        <v>162</v>
      </c>
      <c r="C281" s="16" t="s">
        <v>186</v>
      </c>
      <c r="D281" s="16" t="s">
        <v>185</v>
      </c>
      <c r="E281" s="17">
        <v>0</v>
      </c>
      <c r="F281" s="17">
        <v>1938.0000</v>
      </c>
      <c r="G281" s="17">
        <f ca="1">((G280 + E281) - F281)</f>
        <v>0</v>
      </c>
      <c r="H281" s="17">
        <v>-1938.0000</v>
      </c>
      <c r="I281" s="17">
        <v>0</v>
      </c>
    </row>
    <row r="282" ht="10.95" customHeight="true" customFormat="true" s="9">
      <c r="A282" s="15">
        <v>46292</v>
      </c>
      <c r="B282" s="16" t="s">
        <v>162</v>
      </c>
      <c r="C282" s="16" t="s">
        <v>187</v>
      </c>
      <c r="D282" s="16" t="s">
        <v>185</v>
      </c>
      <c r="E282" s="17">
        <v>0</v>
      </c>
      <c r="F282" s="17">
        <v>1395.0000</v>
      </c>
      <c r="G282" s="17">
        <f ca="1">((G281 + E282) - F282)</f>
        <v>0</v>
      </c>
      <c r="H282" s="17">
        <v>-1395.0000</v>
      </c>
      <c r="I282" s="17">
        <v>0</v>
      </c>
    </row>
    <row r="283" ht="10.95" customHeight="true" customFormat="true" s="9">
      <c r="A283" s="15">
        <v>46292</v>
      </c>
      <c r="B283" s="16" t="s">
        <v>162</v>
      </c>
      <c r="C283" s="16" t="s">
        <v>210</v>
      </c>
      <c r="D283" s="16"/>
      <c r="E283" s="17">
        <v>0</v>
      </c>
      <c r="F283" s="17">
        <v>12.0000</v>
      </c>
      <c r="G283" s="17">
        <f ca="1">((G282 + E283) - F283)</f>
        <v>0</v>
      </c>
      <c r="H283" s="17">
        <v>-12.0000</v>
      </c>
      <c r="I283" s="17">
        <v>0</v>
      </c>
    </row>
    <row r="284" ht="10.95" customHeight="true" customFormat="true" s="9">
      <c r="A284" s="15">
        <v>46293</v>
      </c>
      <c r="B284" s="16" t="s">
        <v>16</v>
      </c>
      <c r="C284" s="16" t="s">
        <v>59</v>
      </c>
      <c r="D284" s="16" t="s">
        <v>53</v>
      </c>
      <c r="E284" s="17">
        <v>0</v>
      </c>
      <c r="F284" s="17">
        <v>220.0000</v>
      </c>
      <c r="G284" s="17">
        <f ca="1">((G283 + E284) - F284)</f>
        <v>0</v>
      </c>
      <c r="H284" s="17">
        <v>-220.0000</v>
      </c>
      <c r="I284" s="17">
        <v>0</v>
      </c>
    </row>
    <row r="285" ht="10.95" customHeight="true" customFormat="true" s="9">
      <c r="A285" s="15">
        <v>46294</v>
      </c>
      <c r="B285" s="16" t="s">
        <v>162</v>
      </c>
      <c r="C285" s="16" t="s">
        <v>210</v>
      </c>
      <c r="D285" s="16"/>
      <c r="E285" s="17">
        <v>0</v>
      </c>
      <c r="F285" s="17">
        <v>12.0000</v>
      </c>
      <c r="G285" s="17">
        <f ca="1">((G284 + E285) - F285)</f>
        <v>0</v>
      </c>
      <c r="H285" s="17">
        <v>-12.0000</v>
      </c>
      <c r="I285" s="17">
        <v>0</v>
      </c>
    </row>
    <row r="286" ht="10.95" customHeight="true" customFormat="true" s="9">
      <c r="A286" s="15">
        <v>46296</v>
      </c>
      <c r="B286" s="16" t="s">
        <v>162</v>
      </c>
      <c r="C286" s="16" t="s">
        <v>214</v>
      </c>
      <c r="D286" s="16"/>
      <c r="E286" s="17">
        <v>0</v>
      </c>
      <c r="F286" s="17">
        <v>21.9000</v>
      </c>
      <c r="G286" s="17">
        <f ca="1">((G285 + E286) - F286)</f>
        <v>0</v>
      </c>
      <c r="H286" s="17">
        <v>-21.9000</v>
      </c>
      <c r="I286" s="17">
        <v>0</v>
      </c>
    </row>
    <row r="287" ht="10.95" customHeight="true" customFormat="true" s="9">
      <c r="A287" s="15">
        <v>46296</v>
      </c>
      <c r="B287" s="16" t="s">
        <v>16</v>
      </c>
      <c r="C287" s="16" t="s">
        <v>48</v>
      </c>
      <c r="D287" s="16"/>
      <c r="E287" s="17">
        <v>0</v>
      </c>
      <c r="F287" s="17">
        <v>170.5000</v>
      </c>
      <c r="G287" s="17">
        <f ca="1">((G286 + E287) - F287)</f>
        <v>0</v>
      </c>
      <c r="H287" s="17">
        <v>-170.5000</v>
      </c>
      <c r="I287" s="17">
        <v>0</v>
      </c>
    </row>
    <row r="288" ht="10.95" customHeight="true" customFormat="true" s="9">
      <c r="A288" s="15">
        <v>46296</v>
      </c>
      <c r="B288" s="16" t="s">
        <v>162</v>
      </c>
      <c r="C288" s="16" t="s">
        <v>210</v>
      </c>
      <c r="D288" s="16"/>
      <c r="E288" s="17">
        <v>0</v>
      </c>
      <c r="F288" s="17">
        <v>12.0000</v>
      </c>
      <c r="G288" s="17">
        <f ca="1">((G287 + E288) - F288)</f>
        <v>0</v>
      </c>
      <c r="H288" s="17">
        <v>-12.0000</v>
      </c>
      <c r="I288" s="17">
        <v>0</v>
      </c>
    </row>
    <row r="289" ht="10.95" customHeight="true" customFormat="true" s="9">
      <c r="A289" s="15">
        <v>46296</v>
      </c>
      <c r="B289" s="16" t="s">
        <v>162</v>
      </c>
      <c r="C289" s="16" t="s">
        <v>215</v>
      </c>
      <c r="D289" s="16"/>
      <c r="E289" s="17">
        <v>0</v>
      </c>
      <c r="F289" s="17">
        <v>6.0000</v>
      </c>
      <c r="G289" s="17">
        <f ca="1">((G288 + E289) - F289)</f>
        <v>0</v>
      </c>
      <c r="H289" s="17">
        <v>-6.0000</v>
      </c>
      <c r="I289" s="17">
        <v>0</v>
      </c>
    </row>
    <row r="290" ht="10.95" customHeight="true" customFormat="true" s="9">
      <c r="A290" s="15">
        <v>46296</v>
      </c>
      <c r="B290" s="16" t="s">
        <v>162</v>
      </c>
      <c r="C290" s="16" t="s">
        <v>216</v>
      </c>
      <c r="D290" s="16"/>
      <c r="E290" s="17">
        <v>0</v>
      </c>
      <c r="F290" s="17">
        <v>49.9900</v>
      </c>
      <c r="G290" s="17">
        <f ca="1">((G289 + E290) - F290)</f>
        <v>0</v>
      </c>
      <c r="H290" s="17">
        <v>-49.9900</v>
      </c>
      <c r="I290" s="17">
        <v>0</v>
      </c>
    </row>
    <row r="291" ht="10.95" customHeight="true" customFormat="true" s="9">
      <c r="A291" s="15">
        <v>46300</v>
      </c>
      <c r="B291" s="16" t="s">
        <v>162</v>
      </c>
      <c r="C291" s="16" t="s">
        <v>210</v>
      </c>
      <c r="D291" s="16"/>
      <c r="E291" s="17">
        <v>0</v>
      </c>
      <c r="F291" s="17">
        <v>12.0000</v>
      </c>
      <c r="G291" s="17">
        <f ca="1">((G290 + E291) - F291)</f>
        <v>0</v>
      </c>
      <c r="H291" s="17">
        <v>-12.0000</v>
      </c>
      <c r="I291" s="17">
        <v>0</v>
      </c>
    </row>
    <row r="292" ht="10.95" customHeight="true" customFormat="true" s="9">
      <c r="A292" s="15">
        <v>46300</v>
      </c>
      <c r="B292" s="16" t="s">
        <v>162</v>
      </c>
      <c r="C292" s="16" t="s">
        <v>215</v>
      </c>
      <c r="D292" s="16"/>
      <c r="E292" s="17">
        <v>0</v>
      </c>
      <c r="F292" s="17">
        <v>12.5000</v>
      </c>
      <c r="G292" s="17">
        <f ca="1">((G291 + E292) - F292)</f>
        <v>0</v>
      </c>
      <c r="H292" s="17">
        <v>-12.5000</v>
      </c>
      <c r="I292" s="17">
        <v>0</v>
      </c>
    </row>
    <row r="293" ht="10.95" customHeight="true" customFormat="true" s="9">
      <c r="A293" s="15">
        <v>46301</v>
      </c>
      <c r="B293" s="16" t="s">
        <v>88</v>
      </c>
      <c r="C293" s="16" t="s">
        <v>124</v>
      </c>
      <c r="D293" s="16" t="s">
        <v>217</v>
      </c>
      <c r="E293" s="17">
        <v>550.0000</v>
      </c>
      <c r="F293" s="17">
        <v>0</v>
      </c>
      <c r="G293" s="17">
        <f ca="1">((G292 + E293) - F293)</f>
        <v>0</v>
      </c>
      <c r="H293" s="17">
        <v>550.0000</v>
      </c>
      <c r="I293" s="17">
        <v>0</v>
      </c>
    </row>
    <row r="294" ht="10.95" customHeight="true" customFormat="true" s="9">
      <c r="A294" s="15">
        <v>46301</v>
      </c>
      <c r="B294" s="16" t="s">
        <v>88</v>
      </c>
      <c r="C294" s="16" t="s">
        <v>126</v>
      </c>
      <c r="D294" s="16" t="s">
        <v>218</v>
      </c>
      <c r="E294" s="17">
        <v>550.0000</v>
      </c>
      <c r="F294" s="17">
        <v>0</v>
      </c>
      <c r="G294" s="17">
        <f ca="1">((G293 + E294) - F294)</f>
        <v>0</v>
      </c>
      <c r="H294" s="17">
        <v>550.0000</v>
      </c>
      <c r="I294" s="17">
        <v>0</v>
      </c>
    </row>
    <row r="295" ht="10.95" customHeight="true" customFormat="true" s="9">
      <c r="A295" s="15">
        <v>46301</v>
      </c>
      <c r="B295" s="16" t="s">
        <v>162</v>
      </c>
      <c r="C295" s="16" t="s">
        <v>177</v>
      </c>
      <c r="D295" s="16"/>
      <c r="E295" s="17">
        <v>0</v>
      </c>
      <c r="F295" s="17">
        <v>17.2300</v>
      </c>
      <c r="G295" s="17">
        <f ca="1">((G294 + E295) - F295)</f>
        <v>0</v>
      </c>
      <c r="H295" s="17">
        <v>-17.2300</v>
      </c>
      <c r="I295" s="17">
        <v>0</v>
      </c>
    </row>
    <row r="296" ht="10.95" customHeight="true" customFormat="true" s="9">
      <c r="A296" s="15">
        <v>46301</v>
      </c>
      <c r="B296" s="16" t="s">
        <v>162</v>
      </c>
      <c r="C296" s="16" t="s">
        <v>210</v>
      </c>
      <c r="D296" s="16"/>
      <c r="E296" s="17">
        <v>0</v>
      </c>
      <c r="F296" s="17">
        <v>12.0000</v>
      </c>
      <c r="G296" s="17">
        <f ca="1">((G295 + E296) - F296)</f>
        <v>0</v>
      </c>
      <c r="H296" s="17">
        <v>-12.0000</v>
      </c>
      <c r="I296" s="17">
        <v>0</v>
      </c>
    </row>
    <row r="297" ht="10.95" customHeight="true" customFormat="true" s="9">
      <c r="A297" s="15">
        <v>46301</v>
      </c>
      <c r="B297" s="16" t="s">
        <v>16</v>
      </c>
      <c r="C297" s="16" t="s">
        <v>59</v>
      </c>
      <c r="D297" s="16" t="s">
        <v>57</v>
      </c>
      <c r="E297" s="17">
        <v>0</v>
      </c>
      <c r="F297" s="17">
        <v>220.0000</v>
      </c>
      <c r="G297" s="17">
        <f ca="1">((G296 + E297) - F297)</f>
        <v>0</v>
      </c>
      <c r="H297" s="17">
        <v>-220.0000</v>
      </c>
      <c r="I297" s="17">
        <v>0</v>
      </c>
    </row>
    <row r="298" ht="10.95" customHeight="true" customFormat="true" s="9">
      <c r="A298" s="15">
        <v>46301</v>
      </c>
      <c r="B298" s="16" t="s">
        <v>162</v>
      </c>
      <c r="C298" s="16" t="s">
        <v>215</v>
      </c>
      <c r="D298" s="16"/>
      <c r="E298" s="17">
        <v>0</v>
      </c>
      <c r="F298" s="17">
        <v>5.5000</v>
      </c>
      <c r="G298" s="17">
        <f ca="1">((G297 + E298) - F298)</f>
        <v>0</v>
      </c>
      <c r="H298" s="17">
        <v>-5.5000</v>
      </c>
      <c r="I298" s="17">
        <v>0</v>
      </c>
    </row>
    <row r="299" ht="10.95" customHeight="true" customFormat="true" s="9">
      <c r="A299" s="15">
        <v>46303</v>
      </c>
      <c r="B299" s="16" t="s">
        <v>162</v>
      </c>
      <c r="C299" s="16" t="s">
        <v>219</v>
      </c>
      <c r="D299" s="16"/>
      <c r="E299" s="17">
        <v>0</v>
      </c>
      <c r="F299" s="17">
        <v>49.8000</v>
      </c>
      <c r="G299" s="17">
        <f ca="1">((G298 + E299) - F299)</f>
        <v>0</v>
      </c>
      <c r="H299" s="17">
        <v>-49.8000</v>
      </c>
      <c r="I299" s="17">
        <v>0</v>
      </c>
    </row>
    <row r="300" ht="10.95" customHeight="true" customFormat="true" s="9">
      <c r="A300" s="15">
        <v>46303</v>
      </c>
      <c r="B300" s="16" t="s">
        <v>16</v>
      </c>
      <c r="C300" s="16" t="s">
        <v>59</v>
      </c>
      <c r="D300" s="16" t="s">
        <v>58</v>
      </c>
      <c r="E300" s="17">
        <v>0</v>
      </c>
      <c r="F300" s="17">
        <v>220.0000</v>
      </c>
      <c r="G300" s="17">
        <f ca="1">((G299 + E300) - F300)</f>
        <v>0</v>
      </c>
      <c r="H300" s="17">
        <v>-220.0000</v>
      </c>
      <c r="I300" s="17">
        <v>0</v>
      </c>
    </row>
    <row r="301" ht="10.95" customHeight="true" customFormat="true" s="9">
      <c r="A301" s="15">
        <v>46304</v>
      </c>
      <c r="B301" s="16" t="s">
        <v>162</v>
      </c>
      <c r="C301" s="16" t="s">
        <v>210</v>
      </c>
      <c r="D301" s="16"/>
      <c r="E301" s="17">
        <v>0</v>
      </c>
      <c r="F301" s="17">
        <v>12.0000</v>
      </c>
      <c r="G301" s="17">
        <f ca="1">((G300 + E301) - F301)</f>
        <v>0</v>
      </c>
      <c r="H301" s="17">
        <v>-12.0000</v>
      </c>
      <c r="I301" s="17">
        <v>0</v>
      </c>
    </row>
    <row r="302" ht="10.95" customHeight="true" customFormat="true" s="9">
      <c r="A302" s="15">
        <v>46304</v>
      </c>
      <c r="B302" s="16" t="s">
        <v>162</v>
      </c>
      <c r="C302" s="16" t="s">
        <v>215</v>
      </c>
      <c r="D302" s="16"/>
      <c r="E302" s="17">
        <v>0</v>
      </c>
      <c r="F302" s="17">
        <v>4.0000</v>
      </c>
      <c r="G302" s="17">
        <f ca="1">((G301 + E302) - F302)</f>
        <v>0</v>
      </c>
      <c r="H302" s="17">
        <v>-4.0000</v>
      </c>
      <c r="I302" s="17">
        <v>0</v>
      </c>
    </row>
    <row r="303" ht="10.95" customHeight="true" customFormat="true" s="9">
      <c r="A303" s="15">
        <v>46306</v>
      </c>
      <c r="B303" s="16" t="s">
        <v>162</v>
      </c>
      <c r="C303" s="16" t="s">
        <v>187</v>
      </c>
      <c r="D303" s="16" t="s">
        <v>185</v>
      </c>
      <c r="E303" s="17">
        <v>0</v>
      </c>
      <c r="F303" s="17">
        <v>1395.0000</v>
      </c>
      <c r="G303" s="17">
        <f ca="1">((G302 + E303) - F303)</f>
        <v>0</v>
      </c>
      <c r="H303" s="17">
        <v>-1395.0000</v>
      </c>
      <c r="I303" s="17">
        <v>0</v>
      </c>
    </row>
    <row r="304" ht="10.95" customHeight="true" customFormat="true" s="9">
      <c r="A304" s="15">
        <v>46306</v>
      </c>
      <c r="B304" s="16" t="s">
        <v>162</v>
      </c>
      <c r="C304" s="16" t="s">
        <v>184</v>
      </c>
      <c r="D304" s="16" t="s">
        <v>185</v>
      </c>
      <c r="E304" s="17">
        <v>0</v>
      </c>
      <c r="F304" s="17">
        <v>1860.0000</v>
      </c>
      <c r="G304" s="17">
        <f ca="1">((G303 + E304) - F304)</f>
        <v>0</v>
      </c>
      <c r="H304" s="17">
        <v>-1860.0000</v>
      </c>
      <c r="I304" s="17">
        <v>0</v>
      </c>
    </row>
    <row r="305" ht="10.95" customHeight="true" customFormat="true" s="9">
      <c r="A305" s="15">
        <v>46306</v>
      </c>
      <c r="B305" s="16" t="s">
        <v>162</v>
      </c>
      <c r="C305" s="16" t="s">
        <v>186</v>
      </c>
      <c r="D305" s="16" t="s">
        <v>185</v>
      </c>
      <c r="E305" s="17">
        <v>0</v>
      </c>
      <c r="F305" s="17">
        <v>1938.0000</v>
      </c>
      <c r="G305" s="17">
        <f ca="1">((G304 + E305) - F305)</f>
        <v>0</v>
      </c>
      <c r="H305" s="17">
        <v>-1938.0000</v>
      </c>
      <c r="I305" s="17">
        <v>0</v>
      </c>
    </row>
    <row r="306" ht="10.95" customHeight="true" customFormat="true" s="9">
      <c r="A306" s="15">
        <v>46306</v>
      </c>
      <c r="B306" s="16" t="s">
        <v>16</v>
      </c>
      <c r="C306" s="16" t="s">
        <v>70</v>
      </c>
      <c r="D306" s="16" t="s">
        <v>62</v>
      </c>
      <c r="E306" s="17">
        <v>0</v>
      </c>
      <c r="F306" s="17">
        <v>1181.2500</v>
      </c>
      <c r="G306" s="17">
        <f ca="1">((G305 + E306) - F306)</f>
        <v>0</v>
      </c>
      <c r="H306" s="17">
        <v>-1181.2500</v>
      </c>
      <c r="I306" s="17">
        <v>0</v>
      </c>
    </row>
    <row r="307" ht="10.95" customHeight="true" customFormat="true" s="9">
      <c r="A307" s="15">
        <v>46306</v>
      </c>
      <c r="B307" s="16" t="s">
        <v>88</v>
      </c>
      <c r="C307" s="16" t="s">
        <v>147</v>
      </c>
      <c r="D307" s="16" t="s">
        <v>220</v>
      </c>
      <c r="E307" s="17">
        <v>105.6000</v>
      </c>
      <c r="F307" s="17">
        <v>0</v>
      </c>
      <c r="G307" s="17">
        <f ca="1">((G306 + E307) - F307)</f>
        <v>0</v>
      </c>
      <c r="H307" s="17">
        <v>105.6000</v>
      </c>
      <c r="I307" s="17">
        <v>0</v>
      </c>
    </row>
    <row r="308" ht="10.95" customHeight="true" customFormat="true" s="9">
      <c r="A308" s="15">
        <v>46307</v>
      </c>
      <c r="B308" s="16" t="s">
        <v>16</v>
      </c>
      <c r="C308" s="16" t="s">
        <v>72</v>
      </c>
      <c r="D308" s="16"/>
      <c r="E308" s="17">
        <v>0</v>
      </c>
      <c r="F308" s="17">
        <v>411.3500</v>
      </c>
      <c r="G308" s="17">
        <f ca="1">((G307 + E308) - F308)</f>
        <v>0</v>
      </c>
      <c r="H308" s="17">
        <v>-411.3500</v>
      </c>
      <c r="I308" s="17">
        <v>0</v>
      </c>
    </row>
    <row r="309" ht="10.95" customHeight="true" customFormat="true" s="9">
      <c r="A309" s="15">
        <v>46307</v>
      </c>
      <c r="B309" s="16" t="s">
        <v>162</v>
      </c>
      <c r="C309" s="16" t="s">
        <v>210</v>
      </c>
      <c r="D309" s="16"/>
      <c r="E309" s="17">
        <v>0</v>
      </c>
      <c r="F309" s="17">
        <v>12.0000</v>
      </c>
      <c r="G309" s="17">
        <f ca="1">((G308 + E309) - F309)</f>
        <v>0</v>
      </c>
      <c r="H309" s="17">
        <v>-12.0000</v>
      </c>
      <c r="I309" s="17">
        <v>0</v>
      </c>
    </row>
    <row r="310" ht="10.95" customHeight="true" customFormat="true" s="9">
      <c r="A310" s="15">
        <v>46307</v>
      </c>
      <c r="B310" s="16" t="s">
        <v>162</v>
      </c>
      <c r="C310" s="16" t="s">
        <v>215</v>
      </c>
      <c r="D310" s="16"/>
      <c r="E310" s="17">
        <v>0</v>
      </c>
      <c r="F310" s="17">
        <v>12.0000</v>
      </c>
      <c r="G310" s="17">
        <f ca="1">((G309 + E310) - F310)</f>
        <v>0</v>
      </c>
      <c r="H310" s="17">
        <v>-12.0000</v>
      </c>
      <c r="I310" s="17">
        <v>0</v>
      </c>
    </row>
    <row r="311" ht="10.95" customHeight="true" customFormat="true" s="9">
      <c r="A311" s="15">
        <v>46307</v>
      </c>
      <c r="B311" s="16" t="s">
        <v>16</v>
      </c>
      <c r="C311" s="16" t="s">
        <v>59</v>
      </c>
      <c r="D311" s="16" t="s">
        <v>66</v>
      </c>
      <c r="E311" s="17">
        <v>0</v>
      </c>
      <c r="F311" s="17">
        <v>220.0000</v>
      </c>
      <c r="G311" s="17">
        <f ca="1">((G310 + E311) - F311)</f>
        <v>0</v>
      </c>
      <c r="H311" s="17">
        <v>-220.0000</v>
      </c>
      <c r="I311" s="17">
        <v>0</v>
      </c>
    </row>
    <row r="312" ht="10.95" customHeight="true" customFormat="true" s="9">
      <c r="A312" s="15">
        <v>46307</v>
      </c>
      <c r="B312" s="16" t="s">
        <v>88</v>
      </c>
      <c r="C312" s="16" t="s">
        <v>149</v>
      </c>
      <c r="D312" s="16" t="s">
        <v>221</v>
      </c>
      <c r="E312" s="17">
        <v>330.0000</v>
      </c>
      <c r="F312" s="17">
        <v>0</v>
      </c>
      <c r="G312" s="17">
        <f ca="1">((G311 + E312) - F312)</f>
        <v>0</v>
      </c>
      <c r="H312" s="17">
        <v>330.0000</v>
      </c>
      <c r="I312" s="17">
        <v>0</v>
      </c>
    </row>
    <row r="313" ht="10.95" customHeight="true" customFormat="true" s="9">
      <c r="A313" s="15">
        <v>46308</v>
      </c>
      <c r="B313" s="16" t="s">
        <v>88</v>
      </c>
      <c r="C313" s="16" t="s">
        <v>128</v>
      </c>
      <c r="D313" s="16" t="s">
        <v>222</v>
      </c>
      <c r="E313" s="17">
        <v>550.0000</v>
      </c>
      <c r="F313" s="17">
        <v>0</v>
      </c>
      <c r="G313" s="17">
        <f ca="1">((G312 + E313) - F313)</f>
        <v>0</v>
      </c>
      <c r="H313" s="17">
        <v>550.0000</v>
      </c>
      <c r="I313" s="17">
        <v>0</v>
      </c>
    </row>
    <row r="314" ht="10.95" customHeight="true" customFormat="true" s="9">
      <c r="A314" s="15">
        <v>46308</v>
      </c>
      <c r="B314" s="16" t="s">
        <v>162</v>
      </c>
      <c r="C314" s="16" t="s">
        <v>210</v>
      </c>
      <c r="D314" s="16"/>
      <c r="E314" s="17">
        <v>0</v>
      </c>
      <c r="F314" s="17">
        <v>12.0000</v>
      </c>
      <c r="G314" s="17">
        <f ca="1">((G313 + E314) - F314)</f>
        <v>0</v>
      </c>
      <c r="H314" s="17">
        <v>-12.0000</v>
      </c>
      <c r="I314" s="17">
        <v>0</v>
      </c>
    </row>
    <row r="315" ht="10.95" customHeight="true" customFormat="true" s="9">
      <c r="A315" s="15">
        <v>46308</v>
      </c>
      <c r="B315" s="16" t="s">
        <v>162</v>
      </c>
      <c r="C315" s="16" t="s">
        <v>215</v>
      </c>
      <c r="D315" s="16"/>
      <c r="E315" s="17">
        <v>0</v>
      </c>
      <c r="F315" s="17">
        <v>8.0000</v>
      </c>
      <c r="G315" s="17">
        <f ca="1">((G314 + E315) - F315)</f>
        <v>0</v>
      </c>
      <c r="H315" s="17">
        <v>-8.0000</v>
      </c>
      <c r="I315" s="17">
        <v>0</v>
      </c>
    </row>
    <row r="316" ht="10.95" customHeight="true" customFormat="true" s="9">
      <c r="A316" s="15">
        <v>46309</v>
      </c>
      <c r="B316" s="16" t="s">
        <v>88</v>
      </c>
      <c r="C316" s="16" t="s">
        <v>104</v>
      </c>
      <c r="D316" s="16" t="s">
        <v>223</v>
      </c>
      <c r="E316" s="17">
        <v>550.0000</v>
      </c>
      <c r="F316" s="17">
        <v>0</v>
      </c>
      <c r="G316" s="17">
        <f ca="1">((G315 + E316) - F316)</f>
        <v>0</v>
      </c>
      <c r="H316" s="17">
        <v>550.0000</v>
      </c>
      <c r="I316" s="17">
        <v>0</v>
      </c>
    </row>
    <row r="317" ht="10.95" customHeight="true" customFormat="true" s="9">
      <c r="A317" s="15">
        <v>46309</v>
      </c>
      <c r="B317" s="16" t="s">
        <v>88</v>
      </c>
      <c r="C317" s="16" t="s">
        <v>17</v>
      </c>
      <c r="D317" s="16" t="s">
        <v>202</v>
      </c>
      <c r="E317" s="17">
        <v>2145.0000</v>
      </c>
      <c r="F317" s="17">
        <v>0</v>
      </c>
      <c r="G317" s="17">
        <f ca="1">((G316 + E317) - F317)</f>
        <v>0</v>
      </c>
      <c r="H317" s="17">
        <v>2145.0000</v>
      </c>
      <c r="I317" s="17">
        <v>0</v>
      </c>
    </row>
    <row r="318" ht="10.95" customHeight="true" customFormat="true" s="9">
      <c r="A318" s="15">
        <v>46309</v>
      </c>
      <c r="B318" s="16" t="s">
        <v>162</v>
      </c>
      <c r="C318" s="16" t="s">
        <v>18</v>
      </c>
      <c r="D318" s="16" t="s">
        <v>224</v>
      </c>
      <c r="E318" s="17">
        <v>0</v>
      </c>
      <c r="F318" s="17">
        <v>148.5000</v>
      </c>
      <c r="G318" s="17">
        <f ca="1">((G317 + E318) - F318)</f>
        <v>0</v>
      </c>
      <c r="H318" s="17">
        <v>-148.5000</v>
      </c>
      <c r="I318" s="17">
        <v>0</v>
      </c>
    </row>
    <row r="319" ht="10.95" customHeight="true" customFormat="true" s="9">
      <c r="A319" s="15">
        <v>46309</v>
      </c>
      <c r="B319" s="16" t="s">
        <v>16</v>
      </c>
      <c r="C319" s="16" t="s">
        <v>36</v>
      </c>
      <c r="D319" s="16" t="s">
        <v>60</v>
      </c>
      <c r="E319" s="17">
        <v>0</v>
      </c>
      <c r="F319" s="17">
        <v>331.1000</v>
      </c>
      <c r="G319" s="17">
        <f ca="1">((G318 + E319) - F319)</f>
        <v>0</v>
      </c>
      <c r="H319" s="17">
        <v>-331.1000</v>
      </c>
      <c r="I319" s="17">
        <v>0</v>
      </c>
    </row>
    <row r="320" ht="10.95" customHeight="true" customFormat="true" s="9">
      <c r="A320" s="15">
        <v>46309</v>
      </c>
      <c r="B320" s="16" t="s">
        <v>16</v>
      </c>
      <c r="C320" s="16" t="s">
        <v>74</v>
      </c>
      <c r="D320" s="16" t="s">
        <v>39</v>
      </c>
      <c r="E320" s="17">
        <v>0</v>
      </c>
      <c r="F320" s="17">
        <v>900.0000</v>
      </c>
      <c r="G320" s="17">
        <f ca="1">((G319 + E320) - F320)</f>
        <v>0</v>
      </c>
      <c r="H320" s="17">
        <v>-900.0000</v>
      </c>
      <c r="I320" s="17">
        <v>0</v>
      </c>
    </row>
    <row r="321" ht="10.95" customHeight="true" customFormat="true" s="9">
      <c r="A321" s="15">
        <v>46309</v>
      </c>
      <c r="B321" s="16" t="s">
        <v>88</v>
      </c>
      <c r="C321" s="16" t="s">
        <v>17</v>
      </c>
      <c r="D321" s="16" t="s">
        <v>225</v>
      </c>
      <c r="E321" s="17">
        <v>3850.0000</v>
      </c>
      <c r="F321" s="17">
        <v>0</v>
      </c>
      <c r="G321" s="17">
        <f ca="1">((G320 + E321) - F321)</f>
        <v>0</v>
      </c>
      <c r="H321" s="17">
        <v>3850.0000</v>
      </c>
      <c r="I321" s="17">
        <v>0</v>
      </c>
    </row>
    <row r="322" ht="10.95" customHeight="true" customFormat="true" s="9">
      <c r="A322" s="15">
        <v>46310</v>
      </c>
      <c r="B322" s="16" t="s">
        <v>162</v>
      </c>
      <c r="C322" s="16" t="s">
        <v>226</v>
      </c>
      <c r="D322" s="16"/>
      <c r="E322" s="17">
        <v>0</v>
      </c>
      <c r="F322" s="17">
        <v>39.5000</v>
      </c>
      <c r="G322" s="17">
        <f ca="1">((G321 + E322) - F322)</f>
        <v>0</v>
      </c>
      <c r="H322" s="17">
        <v>-39.5000</v>
      </c>
      <c r="I322" s="17">
        <v>0</v>
      </c>
    </row>
    <row r="323" ht="10.95" customHeight="true" customFormat="true" s="9">
      <c r="A323" s="15">
        <v>46310</v>
      </c>
      <c r="B323" s="16" t="s">
        <v>16</v>
      </c>
      <c r="C323" s="16" t="s">
        <v>75</v>
      </c>
      <c r="D323" s="16" t="s">
        <v>65</v>
      </c>
      <c r="E323" s="17">
        <v>0</v>
      </c>
      <c r="F323" s="17">
        <v>6930.0000</v>
      </c>
      <c r="G323" s="17">
        <f ca="1">((G322 + E323) - F323)</f>
        <v>0</v>
      </c>
      <c r="H323" s="17">
        <v>-6930.0000</v>
      </c>
      <c r="I323" s="17">
        <v>0</v>
      </c>
    </row>
    <row r="324" ht="10.95" customHeight="true" customFormat="true" s="9">
      <c r="A324" s="15">
        <v>46310</v>
      </c>
      <c r="B324" s="16" t="s">
        <v>88</v>
      </c>
      <c r="C324" s="16" t="s">
        <v>151</v>
      </c>
      <c r="D324" s="16" t="s">
        <v>227</v>
      </c>
      <c r="E324" s="17">
        <v>3960.0000</v>
      </c>
      <c r="F324" s="17">
        <v>0</v>
      </c>
      <c r="G324" s="17">
        <f ca="1">((G323 + E324) - F324)</f>
        <v>0</v>
      </c>
      <c r="H324" s="17">
        <v>3960.0000</v>
      </c>
      <c r="I324" s="17">
        <v>0</v>
      </c>
    </row>
    <row r="325" ht="10.95" customHeight="true" customFormat="true" s="9">
      <c r="A325" s="15">
        <v>46310</v>
      </c>
      <c r="B325" s="16" t="s">
        <v>88</v>
      </c>
      <c r="C325" s="16" t="s">
        <v>151</v>
      </c>
      <c r="D325" s="16" t="s">
        <v>228</v>
      </c>
      <c r="E325" s="17">
        <v>550.0000</v>
      </c>
      <c r="F325" s="17">
        <v>0</v>
      </c>
      <c r="G325" s="17">
        <f ca="1">((G324 + E325) - F325)</f>
        <v>0</v>
      </c>
      <c r="H325" s="17">
        <v>550.0000</v>
      </c>
      <c r="I325" s="17">
        <v>0</v>
      </c>
    </row>
    <row r="326" ht="10.95" customHeight="true" customFormat="true" s="9">
      <c r="A326" s="15">
        <v>46311</v>
      </c>
      <c r="B326" s="16" t="s">
        <v>229</v>
      </c>
      <c r="C326" s="16" t="s">
        <v>226</v>
      </c>
      <c r="D326" s="16" t="s">
        <v>230</v>
      </c>
      <c r="E326" s="17">
        <v>39.5000</v>
      </c>
      <c r="F326" s="17">
        <v>0</v>
      </c>
      <c r="G326" s="17">
        <f ca="1">((G325 + E326) - F326)</f>
        <v>0</v>
      </c>
      <c r="H326" s="17">
        <v>39.5000</v>
      </c>
      <c r="I326" s="17">
        <v>0</v>
      </c>
    </row>
    <row r="327" ht="10.95" customHeight="true" customFormat="true" s="9">
      <c r="A327" s="15">
        <v>46311</v>
      </c>
      <c r="B327" s="16" t="s">
        <v>16</v>
      </c>
      <c r="C327" s="16" t="s">
        <v>56</v>
      </c>
      <c r="D327" s="16"/>
      <c r="E327" s="17">
        <v>0</v>
      </c>
      <c r="F327" s="17">
        <v>53.9000</v>
      </c>
      <c r="G327" s="17">
        <f ca="1">((G326 + E327) - F327)</f>
        <v>0</v>
      </c>
      <c r="H327" s="17">
        <v>-53.9000</v>
      </c>
      <c r="I327" s="17">
        <v>0</v>
      </c>
    </row>
    <row r="328" ht="10.95" customHeight="true" customFormat="true" s="9">
      <c r="A328" s="15">
        <v>46311</v>
      </c>
      <c r="B328" s="16" t="s">
        <v>16</v>
      </c>
      <c r="C328" s="16" t="s">
        <v>34</v>
      </c>
      <c r="D328" s="16"/>
      <c r="E328" s="17">
        <v>0</v>
      </c>
      <c r="F328" s="17">
        <v>75.9000</v>
      </c>
      <c r="G328" s="17">
        <f ca="1">((G327 + E328) - F328)</f>
        <v>0</v>
      </c>
      <c r="H328" s="17">
        <v>-75.9000</v>
      </c>
      <c r="I328" s="17">
        <v>0</v>
      </c>
    </row>
    <row r="329" ht="10.95" customHeight="true" customFormat="true" s="9">
      <c r="A329" s="15">
        <v>46311</v>
      </c>
      <c r="B329" s="16" t="s">
        <v>88</v>
      </c>
      <c r="C329" s="16" t="s">
        <v>154</v>
      </c>
      <c r="D329" s="16" t="s">
        <v>231</v>
      </c>
      <c r="E329" s="17">
        <v>2277.0000</v>
      </c>
      <c r="F329" s="17">
        <v>0</v>
      </c>
      <c r="G329" s="17">
        <f ca="1">((G328 + E329) - F329)</f>
        <v>0</v>
      </c>
      <c r="H329" s="17">
        <v>2277.0000</v>
      </c>
      <c r="I329" s="17">
        <v>0</v>
      </c>
    </row>
    <row r="330" ht="10.95" customHeight="true" customFormat="true" s="9">
      <c r="A330" s="15">
        <v>46312</v>
      </c>
      <c r="B330" s="16" t="s">
        <v>16</v>
      </c>
      <c r="C330" s="16" t="s">
        <v>59</v>
      </c>
      <c r="D330" s="16" t="s">
        <v>71</v>
      </c>
      <c r="E330" s="17">
        <v>0</v>
      </c>
      <c r="F330" s="17">
        <v>220.0000</v>
      </c>
      <c r="G330" s="17">
        <f ca="1">((G329 + E330) - F330)</f>
        <v>0</v>
      </c>
      <c r="H330" s="17">
        <v>-220.0000</v>
      </c>
      <c r="I330" s="17">
        <v>0</v>
      </c>
    </row>
    <row r="331" ht="10.95" customHeight="true" customFormat="true" s="9">
      <c r="A331" s="15">
        <v>46312</v>
      </c>
      <c r="B331" s="16" t="s">
        <v>162</v>
      </c>
      <c r="C331" s="16" t="s">
        <v>215</v>
      </c>
      <c r="D331" s="16"/>
      <c r="E331" s="17">
        <v>0</v>
      </c>
      <c r="F331" s="17">
        <v>6.0000</v>
      </c>
      <c r="G331" s="17">
        <f ca="1">((G330 + E331) - F331)</f>
        <v>0</v>
      </c>
      <c r="H331" s="17">
        <v>-6.0000</v>
      </c>
      <c r="I331" s="17">
        <v>0</v>
      </c>
    </row>
    <row r="332" ht="10.95" customHeight="true" customFormat="true" s="9">
      <c r="A332" s="18" t="s">
        <v>232</v>
      </c>
      <c r="B332" s="18"/>
      <c r="C332" s="18"/>
      <c r="D332" s="18"/>
      <c r="E332" s="19">
        <f ca="1">SUM(E199:E331)</f>
        <v>0</v>
      </c>
      <c r="F332" s="19">
        <f ca="1">SUM(F199:F331)</f>
        <v>0</v>
      </c>
      <c r="G332" s="19">
        <f ca="1">G331</f>
        <v>0</v>
      </c>
      <c r="H332" s="19">
        <f ca="1">SUM(H199:H331)</f>
        <v>0</v>
      </c>
      <c r="I332" s="19">
        <f ca="1">SUM(I199:I331)</f>
        <v>0</v>
      </c>
    </row>
    <row r="333" ht="10.95" customHeight="true" customFormat="true" s="9">
      <c r="A333" s="10" t="s">
        <v>83</v>
      </c>
      <c r="B333" s="10"/>
      <c r="C333" s="10"/>
      <c r="D333" s="10"/>
      <c r="E333" s="11">
        <v>0</v>
      </c>
      <c r="F333" s="11">
        <v>12023.2600</v>
      </c>
      <c r="G333" s="11">
        <f ca="1">G331</f>
        <v>0</v>
      </c>
      <c r="H333" s="11">
        <v>0</v>
      </c>
      <c r="I333" s="11">
        <v>0</v>
      </c>
    </row>
    <row r="334" ht="13.35" customHeight="true"/>
    <row r="335" ht="12.1" customHeight="true" customFormat="true" s="5">
      <c r="A335" s="8" t="s">
        <v>233</v>
      </c>
      <c r="B335" s="8"/>
      <c r="C335" s="8"/>
      <c r="D335" s="8"/>
      <c r="E335" s="8"/>
      <c r="F335" s="8"/>
      <c r="G335" s="8"/>
      <c r="H335" s="8"/>
      <c r="I335" s="8"/>
    </row>
    <row r="336" ht="10.95" customHeight="true" customFormat="true" s="9">
      <c r="A336" s="10" t="s">
        <v>13</v>
      </c>
      <c r="B336" s="10"/>
      <c r="C336" s="10"/>
      <c r="D336" s="10"/>
      <c r="E336" s="11">
        <v>0</v>
      </c>
      <c r="F336" s="11">
        <v>0</v>
      </c>
      <c r="G336" s="11">
        <f ca="1">(E336 - F336)</f>
        <v>0</v>
      </c>
      <c r="H336" s="11">
        <v>0</v>
      </c>
      <c r="I336" s="11">
        <v>0</v>
      </c>
    </row>
    <row r="337" ht="10.95" customHeight="true" customFormat="true" s="9">
      <c r="A337" s="12">
        <v>46219</v>
      </c>
      <c r="B337" s="13" t="s">
        <v>173</v>
      </c>
      <c r="C337" s="13" t="s">
        <v>174</v>
      </c>
      <c r="D337" s="13"/>
      <c r="E337" s="14">
        <v>15081.2300</v>
      </c>
      <c r="F337" s="14">
        <v>0</v>
      </c>
      <c r="G337" s="14">
        <f ca="1">((G336 + E337) - F337)</f>
        <v>0</v>
      </c>
      <c r="H337" s="14">
        <v>15081.2300</v>
      </c>
      <c r="I337" s="14">
        <v>0</v>
      </c>
    </row>
    <row r="338" ht="10.95" customHeight="true" customFormat="true" s="9">
      <c r="A338" s="15">
        <v>46291</v>
      </c>
      <c r="B338" s="16" t="s">
        <v>211</v>
      </c>
      <c r="C338" s="16" t="s">
        <v>212</v>
      </c>
      <c r="D338" s="16" t="s">
        <v>213</v>
      </c>
      <c r="E338" s="17">
        <v>0</v>
      </c>
      <c r="F338" s="17">
        <v>3500.0000</v>
      </c>
      <c r="G338" s="17">
        <f ca="1">((G337 + E338) - F338)</f>
        <v>0</v>
      </c>
      <c r="H338" s="17">
        <v>-3500.0000</v>
      </c>
      <c r="I338" s="17">
        <v>0</v>
      </c>
    </row>
    <row r="339" ht="10.95" customHeight="true" customFormat="true" s="9">
      <c r="A339" s="15">
        <v>46311</v>
      </c>
      <c r="B339" s="16" t="s">
        <v>229</v>
      </c>
      <c r="C339" s="16" t="s">
        <v>234</v>
      </c>
      <c r="D339" s="16"/>
      <c r="E339" s="17">
        <v>97.0500</v>
      </c>
      <c r="F339" s="17">
        <v>0</v>
      </c>
      <c r="G339" s="17">
        <f ca="1">((G338 + E339) - F339)</f>
        <v>0</v>
      </c>
      <c r="H339" s="17">
        <v>97.0500</v>
      </c>
      <c r="I339" s="17">
        <v>0</v>
      </c>
    </row>
    <row r="340" ht="10.95" customHeight="true" customFormat="true" s="9">
      <c r="A340" s="15">
        <v>46312</v>
      </c>
      <c r="B340" s="16" t="s">
        <v>162</v>
      </c>
      <c r="C340" s="16" t="s">
        <v>235</v>
      </c>
      <c r="D340" s="16" t="s">
        <v>236</v>
      </c>
      <c r="E340" s="17">
        <v>0</v>
      </c>
      <c r="F340" s="17">
        <v>4500.0000</v>
      </c>
      <c r="G340" s="17">
        <f ca="1">((G339 + E340) - F340)</f>
        <v>0</v>
      </c>
      <c r="H340" s="17">
        <v>-4500.0000</v>
      </c>
      <c r="I340" s="17">
        <v>0</v>
      </c>
    </row>
    <row r="341" ht="10.95" customHeight="true" customFormat="true" s="9">
      <c r="A341" s="15">
        <v>46312</v>
      </c>
      <c r="B341" s="16" t="s">
        <v>162</v>
      </c>
      <c r="C341" s="16" t="s">
        <v>234</v>
      </c>
      <c r="D341" s="16"/>
      <c r="E341" s="17">
        <v>0</v>
      </c>
      <c r="F341" s="17">
        <v>300.0000</v>
      </c>
      <c r="G341" s="17">
        <f ca="1">((G340 + E341) - F341)</f>
        <v>0</v>
      </c>
      <c r="H341" s="17">
        <v>-300.0000</v>
      </c>
      <c r="I341" s="17">
        <v>0</v>
      </c>
    </row>
    <row r="342" ht="10.95" customHeight="true" customFormat="true" s="9">
      <c r="A342" s="18" t="s">
        <v>237</v>
      </c>
      <c r="B342" s="18"/>
      <c r="C342" s="18"/>
      <c r="D342" s="18"/>
      <c r="E342" s="19">
        <f ca="1">SUM(E337:E341)</f>
        <v>0</v>
      </c>
      <c r="F342" s="19">
        <f ca="1">SUM(F337:F341)</f>
        <v>0</v>
      </c>
      <c r="G342" s="19">
        <f ca="1">G341</f>
        <v>0</v>
      </c>
      <c r="H342" s="19">
        <f ca="1">SUM(H337:H341)</f>
        <v>0</v>
      </c>
      <c r="I342" s="19">
        <f ca="1">SUM(I337:I341)</f>
        <v>0</v>
      </c>
    </row>
    <row r="343" ht="10.95" customHeight="true" customFormat="true" s="9">
      <c r="A343" s="10" t="s">
        <v>83</v>
      </c>
      <c r="B343" s="10"/>
      <c r="C343" s="10"/>
      <c r="D343" s="10"/>
      <c r="E343" s="11">
        <v>6878.2800</v>
      </c>
      <c r="F343" s="11">
        <v>0</v>
      </c>
      <c r="G343" s="11">
        <f ca="1">G341</f>
        <v>0</v>
      </c>
      <c r="H343" s="11">
        <v>0</v>
      </c>
      <c r="I343" s="11">
        <v>0</v>
      </c>
    </row>
    <row r="344" ht="13.35" customHeight="true"/>
    <row r="345" ht="12.1" customHeight="true" customFormat="true" s="5">
      <c r="A345" s="20" t="s">
        <v>238</v>
      </c>
      <c r="B345" s="20"/>
      <c r="C345" s="20"/>
      <c r="D345" s="20"/>
      <c r="E345" s="20"/>
      <c r="F345" s="20"/>
      <c r="G345" s="20"/>
      <c r="H345" s="20"/>
      <c r="I345" s="20"/>
    </row>
    <row r="346" ht="10.95" customHeight="true" customFormat="true" s="9">
      <c r="A346" s="12">
        <v>46250</v>
      </c>
      <c r="B346" s="13" t="s">
        <v>14</v>
      </c>
      <c r="C346" s="13" t="s">
        <v>37</v>
      </c>
      <c r="D346" s="13"/>
      <c r="E346" s="14">
        <v>155.0000</v>
      </c>
      <c r="F346" s="14">
        <v>0</v>
      </c>
      <c r="G346" s="14">
        <f ca="1">(E346 - F346)</f>
        <v>0</v>
      </c>
      <c r="H346" s="14">
        <v>170.5000</v>
      </c>
      <c r="I346" s="14">
        <v>15.5000</v>
      </c>
    </row>
    <row r="347" ht="10.95" customHeight="true" customFormat="true" s="9">
      <c r="A347" s="15">
        <v>46278</v>
      </c>
      <c r="B347" s="16" t="s">
        <v>14</v>
      </c>
      <c r="C347" s="16" t="s">
        <v>239</v>
      </c>
      <c r="D347" s="16" t="s">
        <v>53</v>
      </c>
      <c r="E347" s="17">
        <v>200.0000</v>
      </c>
      <c r="F347" s="17">
        <v>0</v>
      </c>
      <c r="G347" s="17">
        <f ca="1">((G346 + E347) - F347)</f>
        <v>0</v>
      </c>
      <c r="H347" s="17">
        <v>220.0000</v>
      </c>
      <c r="I347" s="17">
        <v>20.0000</v>
      </c>
    </row>
    <row r="348" ht="10.95" customHeight="true" customFormat="true" s="9">
      <c r="A348" s="15">
        <v>46281</v>
      </c>
      <c r="B348" s="16" t="s">
        <v>14</v>
      </c>
      <c r="C348" s="16" t="s">
        <v>37</v>
      </c>
      <c r="D348" s="16"/>
      <c r="E348" s="17">
        <v>155.0000</v>
      </c>
      <c r="F348" s="17">
        <v>0</v>
      </c>
      <c r="G348" s="17">
        <f ca="1">((G347 + E348) - F348)</f>
        <v>0</v>
      </c>
      <c r="H348" s="17">
        <v>170.5000</v>
      </c>
      <c r="I348" s="17">
        <v>15.5000</v>
      </c>
    </row>
    <row r="349" ht="10.95" customHeight="true" customFormat="true" s="9">
      <c r="A349" s="15">
        <v>46285</v>
      </c>
      <c r="B349" s="16" t="s">
        <v>14</v>
      </c>
      <c r="C349" s="16" t="s">
        <v>239</v>
      </c>
      <c r="D349" s="16" t="s">
        <v>57</v>
      </c>
      <c r="E349" s="17">
        <v>200.0000</v>
      </c>
      <c r="F349" s="17">
        <v>0</v>
      </c>
      <c r="G349" s="17">
        <f ca="1">((G348 + E349) - F349)</f>
        <v>0</v>
      </c>
      <c r="H349" s="17">
        <v>220.0000</v>
      </c>
      <c r="I349" s="17">
        <v>20.0000</v>
      </c>
    </row>
    <row r="350" ht="10.95" customHeight="true" customFormat="true" s="9">
      <c r="A350" s="15">
        <v>46292</v>
      </c>
      <c r="B350" s="16" t="s">
        <v>14</v>
      </c>
      <c r="C350" s="16" t="s">
        <v>239</v>
      </c>
      <c r="D350" s="16" t="s">
        <v>58</v>
      </c>
      <c r="E350" s="17">
        <v>200.0000</v>
      </c>
      <c r="F350" s="17">
        <v>0</v>
      </c>
      <c r="G350" s="17">
        <f ca="1">((G349 + E350) - F350)</f>
        <v>0</v>
      </c>
      <c r="H350" s="17">
        <v>220.0000</v>
      </c>
      <c r="I350" s="17">
        <v>20.0000</v>
      </c>
    </row>
    <row r="351" ht="10.95" customHeight="true" customFormat="true" s="9">
      <c r="A351" s="15">
        <v>46299</v>
      </c>
      <c r="B351" s="16" t="s">
        <v>14</v>
      </c>
      <c r="C351" s="16" t="s">
        <v>239</v>
      </c>
      <c r="D351" s="16" t="s">
        <v>66</v>
      </c>
      <c r="E351" s="17">
        <v>200.0000</v>
      </c>
      <c r="F351" s="17">
        <v>0</v>
      </c>
      <c r="G351" s="17">
        <f ca="1">((G350 + E351) - F351)</f>
        <v>0</v>
      </c>
      <c r="H351" s="17">
        <v>220.0000</v>
      </c>
      <c r="I351" s="17">
        <v>20.0000</v>
      </c>
    </row>
    <row r="352" ht="10.95" customHeight="true" customFormat="true" s="9">
      <c r="A352" s="15">
        <v>46306</v>
      </c>
      <c r="B352" s="16" t="s">
        <v>14</v>
      </c>
      <c r="C352" s="16" t="s">
        <v>240</v>
      </c>
      <c r="D352" s="16"/>
      <c r="E352" s="17">
        <v>155.0000</v>
      </c>
      <c r="F352" s="17">
        <v>0</v>
      </c>
      <c r="G352" s="17">
        <f ca="1">((G351 + E352) - F352)</f>
        <v>0</v>
      </c>
      <c r="H352" s="17">
        <v>170.5000</v>
      </c>
      <c r="I352" s="17">
        <v>15.5000</v>
      </c>
    </row>
    <row r="353" ht="10.95" customHeight="true" customFormat="true" s="9">
      <c r="A353" s="15">
        <v>46306</v>
      </c>
      <c r="B353" s="16" t="s">
        <v>14</v>
      </c>
      <c r="C353" s="16" t="s">
        <v>239</v>
      </c>
      <c r="D353" s="16" t="s">
        <v>71</v>
      </c>
      <c r="E353" s="17">
        <v>200.0000</v>
      </c>
      <c r="F353" s="17">
        <v>0</v>
      </c>
      <c r="G353" s="17">
        <f ca="1">((G352 + E353) - F353)</f>
        <v>0</v>
      </c>
      <c r="H353" s="17">
        <v>220.0000</v>
      </c>
      <c r="I353" s="17">
        <v>20.0000</v>
      </c>
    </row>
    <row r="354" ht="10.95" customHeight="true" customFormat="true" s="9">
      <c r="A354" s="18" t="s">
        <v>241</v>
      </c>
      <c r="B354" s="18"/>
      <c r="C354" s="18"/>
      <c r="D354" s="18"/>
      <c r="E354" s="19">
        <f ca="1">SUM(E346:E353)</f>
        <v>0</v>
      </c>
      <c r="F354" s="19">
        <f ca="1">SUM(F346:F353)</f>
        <v>0</v>
      </c>
      <c r="G354" s="19">
        <f ca="1">G353</f>
        <v>0</v>
      </c>
      <c r="H354" s="19">
        <f ca="1">SUM(H346:H353)</f>
        <v>0</v>
      </c>
      <c r="I354" s="19">
        <f ca="1">SUM(I346:I353)</f>
        <v>0</v>
      </c>
    </row>
    <row r="355" ht="13.35" customHeight="true"/>
    <row r="356" ht="12.1" customHeight="true" customFormat="true" s="5">
      <c r="A356" s="8" t="s">
        <v>242</v>
      </c>
      <c r="B356" s="8"/>
      <c r="C356" s="8"/>
      <c r="D356" s="8"/>
      <c r="E356" s="8"/>
      <c r="F356" s="8"/>
      <c r="G356" s="8"/>
      <c r="H356" s="8"/>
      <c r="I356" s="8"/>
    </row>
    <row r="357" ht="10.95" customHeight="true" customFormat="true" s="9">
      <c r="A357" s="10" t="s">
        <v>13</v>
      </c>
      <c r="B357" s="10"/>
      <c r="C357" s="10"/>
      <c r="D357" s="10"/>
      <c r="E357" s="11">
        <v>0</v>
      </c>
      <c r="F357" s="11">
        <v>0</v>
      </c>
      <c r="G357" s="11">
        <f ca="1">(E357 - F357)</f>
        <v>0</v>
      </c>
      <c r="H357" s="11">
        <v>0</v>
      </c>
      <c r="I357" s="11">
        <v>0</v>
      </c>
    </row>
    <row r="358" ht="10.95" customHeight="true" customFormat="true" s="9">
      <c r="A358" s="12">
        <v>46306</v>
      </c>
      <c r="B358" s="13" t="s">
        <v>14</v>
      </c>
      <c r="C358" s="13" t="s">
        <v>243</v>
      </c>
      <c r="D358" s="13"/>
      <c r="E358" s="14">
        <v>1969.9900</v>
      </c>
      <c r="F358" s="14">
        <v>0</v>
      </c>
      <c r="G358" s="14">
        <f ca="1">((G357 + E358) - F358)</f>
        <v>0</v>
      </c>
      <c r="H358" s="14">
        <v>2166.9900</v>
      </c>
      <c r="I358" s="14">
        <v>197.0000</v>
      </c>
    </row>
    <row r="359" ht="10.95" customHeight="true" customFormat="true" s="9">
      <c r="A359" s="18" t="s">
        <v>244</v>
      </c>
      <c r="B359" s="18"/>
      <c r="C359" s="18"/>
      <c r="D359" s="18"/>
      <c r="E359" s="19">
        <f ca="1">E358</f>
        <v>0</v>
      </c>
      <c r="F359" s="19">
        <f ca="1">F358</f>
        <v>0</v>
      </c>
      <c r="G359" s="19">
        <f ca="1">G358</f>
        <v>0</v>
      </c>
      <c r="H359" s="19">
        <f ca="1">H358</f>
        <v>0</v>
      </c>
      <c r="I359" s="19">
        <f ca="1">I358</f>
        <v>0</v>
      </c>
    </row>
    <row r="360" ht="10.95" customHeight="true" customFormat="true" s="9">
      <c r="A360" s="10" t="s">
        <v>83</v>
      </c>
      <c r="B360" s="10"/>
      <c r="C360" s="10"/>
      <c r="D360" s="10"/>
      <c r="E360" s="11">
        <v>1969.9900</v>
      </c>
      <c r="F360" s="11">
        <v>0</v>
      </c>
      <c r="G360" s="11">
        <f ca="1">G358</f>
        <v>0</v>
      </c>
      <c r="H360" s="11">
        <v>0</v>
      </c>
      <c r="I360" s="11">
        <v>0</v>
      </c>
    </row>
    <row r="361" ht="13.35" customHeight="true"/>
    <row r="362" ht="12.1" customHeight="true" customFormat="true" s="5">
      <c r="A362" s="20" t="s">
        <v>245</v>
      </c>
      <c r="B362" s="20"/>
      <c r="C362" s="20"/>
      <c r="D362" s="20"/>
      <c r="E362" s="20"/>
      <c r="F362" s="20"/>
      <c r="G362" s="20"/>
      <c r="H362" s="20"/>
      <c r="I362" s="20"/>
    </row>
    <row r="363" ht="10.95" customHeight="true" customFormat="true" s="9">
      <c r="A363" s="12">
        <v>45854</v>
      </c>
      <c r="B363" s="13" t="s">
        <v>14</v>
      </c>
      <c r="C363" s="13" t="s">
        <v>246</v>
      </c>
      <c r="D363" s="13"/>
      <c r="E363" s="14">
        <v>1800.0000</v>
      </c>
      <c r="F363" s="14">
        <v>0</v>
      </c>
      <c r="G363" s="14">
        <f ca="1">(E363 - F363)</f>
        <v>0</v>
      </c>
      <c r="H363" s="14">
        <v>1980.0000</v>
      </c>
      <c r="I363" s="14">
        <v>180.0000</v>
      </c>
    </row>
    <row r="364" ht="10.95" customHeight="true" customFormat="true" s="9">
      <c r="A364" s="15">
        <v>45916</v>
      </c>
      <c r="B364" s="16" t="s">
        <v>14</v>
      </c>
      <c r="C364" s="16" t="s">
        <v>246</v>
      </c>
      <c r="D364" s="16"/>
      <c r="E364" s="17">
        <v>1800.0000</v>
      </c>
      <c r="F364" s="17">
        <v>0</v>
      </c>
      <c r="G364" s="17">
        <f ca="1">((G363 + E364) - F364)</f>
        <v>0</v>
      </c>
      <c r="H364" s="17">
        <v>1980.0000</v>
      </c>
      <c r="I364" s="17">
        <v>180.0000</v>
      </c>
    </row>
    <row r="365" ht="10.95" customHeight="true" customFormat="true" s="9">
      <c r="A365" s="15">
        <v>46281</v>
      </c>
      <c r="B365" s="16" t="s">
        <v>14</v>
      </c>
      <c r="C365" s="16" t="s">
        <v>55</v>
      </c>
      <c r="D365" s="16"/>
      <c r="E365" s="17">
        <v>49.0000</v>
      </c>
      <c r="F365" s="17">
        <v>0</v>
      </c>
      <c r="G365" s="17">
        <f ca="1">((G364 + E365) - F365)</f>
        <v>0</v>
      </c>
      <c r="H365" s="17">
        <v>53.9000</v>
      </c>
      <c r="I365" s="17">
        <v>4.9000</v>
      </c>
    </row>
    <row r="366" ht="10.95" customHeight="true" customFormat="true" s="9">
      <c r="A366" s="15">
        <v>46311</v>
      </c>
      <c r="B366" s="16" t="s">
        <v>14</v>
      </c>
      <c r="C366" s="16" t="s">
        <v>55</v>
      </c>
      <c r="D366" s="16"/>
      <c r="E366" s="17">
        <v>49.0000</v>
      </c>
      <c r="F366" s="17">
        <v>0</v>
      </c>
      <c r="G366" s="17">
        <f ca="1">((G365 + E366) - F366)</f>
        <v>0</v>
      </c>
      <c r="H366" s="17">
        <v>53.9000</v>
      </c>
      <c r="I366" s="17">
        <v>4.9000</v>
      </c>
    </row>
    <row r="367" ht="10.95" customHeight="true" customFormat="true" s="9">
      <c r="A367" s="18" t="s">
        <v>247</v>
      </c>
      <c r="B367" s="18"/>
      <c r="C367" s="18"/>
      <c r="D367" s="18"/>
      <c r="E367" s="19">
        <f ca="1">SUM(E363:E366)</f>
        <v>0</v>
      </c>
      <c r="F367" s="19">
        <f ca="1">SUM(F363:F366)</f>
        <v>0</v>
      </c>
      <c r="G367" s="19">
        <f ca="1">G366</f>
        <v>0</v>
      </c>
      <c r="H367" s="19">
        <f ca="1">SUM(H363:H366)</f>
        <v>0</v>
      </c>
      <c r="I367" s="19">
        <f ca="1">SUM(I363:I366)</f>
        <v>0</v>
      </c>
    </row>
    <row r="368" ht="13.35" customHeight="true"/>
    <row r="369" ht="12.1" customHeight="true" customFormat="true" s="5">
      <c r="A369" s="20" t="s">
        <v>248</v>
      </c>
      <c r="B369" s="20"/>
      <c r="C369" s="20"/>
      <c r="D369" s="20"/>
      <c r="E369" s="20"/>
      <c r="F369" s="20"/>
      <c r="G369" s="20"/>
      <c r="H369" s="20"/>
      <c r="I369" s="20"/>
    </row>
    <row r="370" ht="10.95" customHeight="true" customFormat="true" s="9">
      <c r="A370" s="12">
        <v>46229</v>
      </c>
      <c r="B370" s="13" t="s">
        <v>162</v>
      </c>
      <c r="C370" s="13" t="s">
        <v>178</v>
      </c>
      <c r="D370" s="13"/>
      <c r="E370" s="14">
        <v>11.5000</v>
      </c>
      <c r="F370" s="14">
        <v>0</v>
      </c>
      <c r="G370" s="14">
        <f ca="1">(E370 - F370)</f>
        <v>0</v>
      </c>
      <c r="H370" s="14">
        <v>11.5000</v>
      </c>
      <c r="I370" s="14">
        <v>0</v>
      </c>
    </row>
    <row r="371" ht="10.95" customHeight="true" customFormat="true" s="9">
      <c r="A371" s="15">
        <v>46250</v>
      </c>
      <c r="B371" s="16" t="s">
        <v>249</v>
      </c>
      <c r="C371" s="16" t="s">
        <v>250</v>
      </c>
      <c r="D371" s="16"/>
      <c r="E371" s="17">
        <v>7.5000</v>
      </c>
      <c r="F371" s="17">
        <v>0</v>
      </c>
      <c r="G371" s="17">
        <f ca="1">((G370 + E371) - F371)</f>
        <v>0</v>
      </c>
      <c r="H371" s="17">
        <v>7.5000</v>
      </c>
      <c r="I371" s="17">
        <v>0</v>
      </c>
    </row>
    <row r="372" ht="10.95" customHeight="true" customFormat="true" s="9">
      <c r="A372" s="15">
        <v>46250</v>
      </c>
      <c r="B372" s="16" t="s">
        <v>249</v>
      </c>
      <c r="C372" s="16" t="s">
        <v>251</v>
      </c>
      <c r="D372" s="16"/>
      <c r="E372" s="17">
        <v>8.2000</v>
      </c>
      <c r="F372" s="17">
        <v>0</v>
      </c>
      <c r="G372" s="17">
        <f ca="1">((G371 + E372) - F372)</f>
        <v>0</v>
      </c>
      <c r="H372" s="17">
        <v>8.2000</v>
      </c>
      <c r="I372" s="17">
        <v>0</v>
      </c>
    </row>
    <row r="373" ht="10.95" customHeight="true" customFormat="true" s="9">
      <c r="A373" s="15">
        <v>46252</v>
      </c>
      <c r="B373" s="16" t="s">
        <v>14</v>
      </c>
      <c r="C373" s="16" t="s">
        <v>43</v>
      </c>
      <c r="D373" s="16"/>
      <c r="E373" s="17">
        <v>200.0000</v>
      </c>
      <c r="F373" s="17">
        <v>0</v>
      </c>
      <c r="G373" s="17">
        <f ca="1">((G372 + E373) - F373)</f>
        <v>0</v>
      </c>
      <c r="H373" s="17">
        <v>200.0000</v>
      </c>
      <c r="I373" s="17">
        <v>0</v>
      </c>
    </row>
    <row r="374" ht="10.95" customHeight="true" customFormat="true" s="9">
      <c r="A374" s="15">
        <v>46252</v>
      </c>
      <c r="B374" s="16" t="s">
        <v>14</v>
      </c>
      <c r="C374" s="16" t="s">
        <v>43</v>
      </c>
      <c r="D374" s="16"/>
      <c r="E374" s="17">
        <v>250.0000</v>
      </c>
      <c r="F374" s="17">
        <v>0</v>
      </c>
      <c r="G374" s="17">
        <f ca="1">((G373 + E374) - F374)</f>
        <v>0</v>
      </c>
      <c r="H374" s="17">
        <v>250.0000</v>
      </c>
      <c r="I374" s="17">
        <v>0</v>
      </c>
    </row>
    <row r="375" ht="10.95" customHeight="true" customFormat="true" s="9">
      <c r="A375" s="15">
        <v>46284</v>
      </c>
      <c r="B375" s="16" t="s">
        <v>27</v>
      </c>
      <c r="C375" s="16" t="s">
        <v>43</v>
      </c>
      <c r="D375" s="16"/>
      <c r="E375" s="17">
        <v>0</v>
      </c>
      <c r="F375" s="17">
        <v>200.0000</v>
      </c>
      <c r="G375" s="17">
        <f ca="1">((G374 + E375) - F375)</f>
        <v>0</v>
      </c>
      <c r="H375" s="17">
        <v>-200.0000</v>
      </c>
      <c r="I375" s="17">
        <v>0</v>
      </c>
    </row>
    <row r="376" ht="10.95" customHeight="true" customFormat="true" s="9">
      <c r="A376" s="18" t="s">
        <v>252</v>
      </c>
      <c r="B376" s="18"/>
      <c r="C376" s="18"/>
      <c r="D376" s="18"/>
      <c r="E376" s="19">
        <f ca="1">SUM(E370:E375)</f>
        <v>0</v>
      </c>
      <c r="F376" s="19">
        <f ca="1">SUM(F370:F375)</f>
        <v>0</v>
      </c>
      <c r="G376" s="19">
        <f ca="1">G375</f>
        <v>0</v>
      </c>
      <c r="H376" s="19">
        <f ca="1">SUM(H370:H375)</f>
        <v>0</v>
      </c>
      <c r="I376" s="19">
        <f ca="1">SUM(I370:I375)</f>
        <v>0</v>
      </c>
    </row>
    <row r="377" ht="13.35" customHeight="true"/>
    <row r="378" ht="12.1" customHeight="true" customFormat="true" s="5">
      <c r="A378" s="20" t="s">
        <v>253</v>
      </c>
      <c r="B378" s="20"/>
      <c r="C378" s="20"/>
      <c r="D378" s="20"/>
      <c r="E378" s="20"/>
      <c r="F378" s="20"/>
      <c r="G378" s="20"/>
      <c r="H378" s="20"/>
      <c r="I378" s="20"/>
    </row>
    <row r="379" ht="10.95" customHeight="true" customFormat="true" s="9">
      <c r="A379" s="12">
        <v>46312</v>
      </c>
      <c r="B379" s="13" t="s">
        <v>85</v>
      </c>
      <c r="C379" s="13" t="s">
        <v>254</v>
      </c>
      <c r="D379" s="13" t="s">
        <v>77</v>
      </c>
      <c r="E379" s="14">
        <v>0</v>
      </c>
      <c r="F379" s="14">
        <v>9.0900</v>
      </c>
      <c r="G379" s="14">
        <f ca="1">(E379 - F379)</f>
        <v>0</v>
      </c>
      <c r="H379" s="14">
        <v>-10.0000</v>
      </c>
      <c r="I379" s="14">
        <v>-0.9100</v>
      </c>
    </row>
    <row r="380" ht="10.95" customHeight="true" customFormat="true" s="9">
      <c r="A380" s="18" t="s">
        <v>255</v>
      </c>
      <c r="B380" s="18"/>
      <c r="C380" s="18"/>
      <c r="D380" s="18"/>
      <c r="E380" s="19">
        <f ca="1">E379</f>
        <v>0</v>
      </c>
      <c r="F380" s="19">
        <f ca="1">F379</f>
        <v>0</v>
      </c>
      <c r="G380" s="19">
        <f ca="1">G379</f>
        <v>0</v>
      </c>
      <c r="H380" s="19">
        <f ca="1">H379</f>
        <v>0</v>
      </c>
      <c r="I380" s="19">
        <f ca="1">I379</f>
        <v>0</v>
      </c>
    </row>
    <row r="381" ht="13.35" customHeight="true"/>
    <row r="382" ht="12.1" customHeight="true" customFormat="true" s="5">
      <c r="A382" s="20" t="s">
        <v>256</v>
      </c>
      <c r="B382" s="20"/>
      <c r="C382" s="20"/>
      <c r="D382" s="20"/>
      <c r="E382" s="20"/>
      <c r="F382" s="20"/>
      <c r="G382" s="20"/>
      <c r="H382" s="20"/>
      <c r="I382" s="20"/>
    </row>
    <row r="383" ht="10.95" customHeight="true" customFormat="true" s="9">
      <c r="A383" s="12">
        <v>46251</v>
      </c>
      <c r="B383" s="13" t="s">
        <v>14</v>
      </c>
      <c r="C383" s="13" t="s">
        <v>257</v>
      </c>
      <c r="D383" s="13" t="s">
        <v>39</v>
      </c>
      <c r="E383" s="14">
        <v>966.8700</v>
      </c>
      <c r="F383" s="14">
        <v>0</v>
      </c>
      <c r="G383" s="14">
        <f ca="1">(E383 - F383)</f>
        <v>0</v>
      </c>
      <c r="H383" s="14">
        <v>1063.5600</v>
      </c>
      <c r="I383" s="14">
        <v>96.6900</v>
      </c>
    </row>
    <row r="384" ht="10.95" customHeight="true" customFormat="true" s="9">
      <c r="A384" s="15">
        <v>46306</v>
      </c>
      <c r="B384" s="16" t="s">
        <v>14</v>
      </c>
      <c r="C384" s="16" t="s">
        <v>258</v>
      </c>
      <c r="D384" s="16"/>
      <c r="E384" s="17">
        <v>118.1800</v>
      </c>
      <c r="F384" s="17">
        <v>0</v>
      </c>
      <c r="G384" s="17">
        <f ca="1">((G383 + E384) - F384)</f>
        <v>0</v>
      </c>
      <c r="H384" s="17">
        <v>130.0000</v>
      </c>
      <c r="I384" s="17">
        <v>11.8200</v>
      </c>
    </row>
    <row r="385" ht="10.95" customHeight="true" customFormat="true" s="9">
      <c r="A385" s="18" t="s">
        <v>259</v>
      </c>
      <c r="B385" s="18"/>
      <c r="C385" s="18"/>
      <c r="D385" s="18"/>
      <c r="E385" s="19">
        <f ca="1">SUM(E383:E384)</f>
        <v>0</v>
      </c>
      <c r="F385" s="19">
        <f ca="1">SUM(F383:F384)</f>
        <v>0</v>
      </c>
      <c r="G385" s="19">
        <f ca="1">G384</f>
        <v>0</v>
      </c>
      <c r="H385" s="19">
        <f ca="1">SUM(H383:H384)</f>
        <v>0</v>
      </c>
      <c r="I385" s="19">
        <f ca="1">SUM(I383:I384)</f>
        <v>0</v>
      </c>
    </row>
    <row r="386" ht="13.35" customHeight="true"/>
    <row r="387" ht="12.1" customHeight="true" customFormat="true" s="5">
      <c r="A387" s="8" t="s">
        <v>11</v>
      </c>
      <c r="B387" s="8"/>
      <c r="C387" s="8"/>
      <c r="D387" s="8"/>
      <c r="E387" s="8"/>
      <c r="F387" s="8"/>
      <c r="G387" s="8"/>
      <c r="H387" s="8"/>
      <c r="I387" s="8"/>
    </row>
    <row r="388" ht="10.95" customHeight="true" customFormat="true" s="9">
      <c r="A388" s="10" t="s">
        <v>13</v>
      </c>
      <c r="B388" s="10"/>
      <c r="C388" s="10"/>
      <c r="D388" s="10"/>
      <c r="E388" s="11">
        <v>0</v>
      </c>
      <c r="F388" s="11">
        <v>0</v>
      </c>
      <c r="G388" s="11">
        <f ca="1">(F388 - E388)</f>
        <v>0</v>
      </c>
      <c r="H388" s="11">
        <v>0</v>
      </c>
      <c r="I388" s="11">
        <v>0</v>
      </c>
    </row>
    <row r="389" ht="10.95" customHeight="true" customFormat="true" s="9">
      <c r="A389" s="12">
        <v>45854</v>
      </c>
      <c r="B389" s="13" t="s">
        <v>14</v>
      </c>
      <c r="C389" s="13" t="s">
        <v>15</v>
      </c>
      <c r="D389" s="13"/>
      <c r="E389" s="14">
        <v>605.6000</v>
      </c>
      <c r="F389" s="14">
        <v>0</v>
      </c>
      <c r="G389" s="14">
        <f ca="1">((G388 + F389) - E389)</f>
        <v>0</v>
      </c>
      <c r="H389" s="14">
        <v>-605.6000</v>
      </c>
      <c r="I389" s="14">
        <v>0</v>
      </c>
    </row>
    <row r="390" ht="10.95" customHeight="true" customFormat="true" s="9">
      <c r="A390" s="15">
        <v>45885</v>
      </c>
      <c r="B390" s="16" t="s">
        <v>85</v>
      </c>
      <c r="C390" s="16" t="s">
        <v>86</v>
      </c>
      <c r="D390" s="16" t="s">
        <v>87</v>
      </c>
      <c r="E390" s="17">
        <v>0</v>
      </c>
      <c r="F390" s="17">
        <v>420.0000</v>
      </c>
      <c r="G390" s="17">
        <f ca="1">((G389 + F390) - E390)</f>
        <v>0</v>
      </c>
      <c r="H390" s="17">
        <v>420.0000</v>
      </c>
      <c r="I390" s="17">
        <v>0</v>
      </c>
    </row>
    <row r="391" ht="10.95" customHeight="true" customFormat="true" s="9">
      <c r="A391" s="15">
        <v>45916</v>
      </c>
      <c r="B391" s="16" t="s">
        <v>14</v>
      </c>
      <c r="C391" s="16" t="s">
        <v>15</v>
      </c>
      <c r="D391" s="16"/>
      <c r="E391" s="17">
        <v>605.6000</v>
      </c>
      <c r="F391" s="17">
        <v>0</v>
      </c>
      <c r="G391" s="17">
        <f ca="1">((G390 + F391) - E391)</f>
        <v>0</v>
      </c>
      <c r="H391" s="17">
        <v>-605.6000</v>
      </c>
      <c r="I391" s="17">
        <v>0</v>
      </c>
    </row>
    <row r="392" ht="10.95" customHeight="true" customFormat="true" s="9">
      <c r="A392" s="15">
        <v>46220</v>
      </c>
      <c r="B392" s="16" t="s">
        <v>85</v>
      </c>
      <c r="C392" s="16" t="s">
        <v>90</v>
      </c>
      <c r="D392" s="16" t="s">
        <v>91</v>
      </c>
      <c r="E392" s="17">
        <v>0</v>
      </c>
      <c r="F392" s="17">
        <v>50.0000</v>
      </c>
      <c r="G392" s="17">
        <f ca="1">((G391 + F392) - E392)</f>
        <v>0</v>
      </c>
      <c r="H392" s="17">
        <v>50.0000</v>
      </c>
      <c r="I392" s="17">
        <v>0</v>
      </c>
    </row>
    <row r="393" ht="10.95" customHeight="true" customFormat="true" s="9">
      <c r="A393" s="15">
        <v>46220</v>
      </c>
      <c r="B393" s="16" t="s">
        <v>14</v>
      </c>
      <c r="C393" s="16" t="s">
        <v>18</v>
      </c>
      <c r="D393" s="16" t="s">
        <v>19</v>
      </c>
      <c r="E393" s="17">
        <v>13.5000</v>
      </c>
      <c r="F393" s="17">
        <v>0</v>
      </c>
      <c r="G393" s="17">
        <f ca="1">((G392 + F393) - E393)</f>
        <v>0</v>
      </c>
      <c r="H393" s="17">
        <v>-13.5000</v>
      </c>
      <c r="I393" s="17">
        <v>0</v>
      </c>
    </row>
    <row r="394" ht="10.95" customHeight="true" customFormat="true" s="9">
      <c r="A394" s="15">
        <v>46220</v>
      </c>
      <c r="B394" s="16" t="s">
        <v>85</v>
      </c>
      <c r="C394" s="16" t="s">
        <v>92</v>
      </c>
      <c r="D394" s="16" t="s">
        <v>91</v>
      </c>
      <c r="E394" s="17">
        <v>0</v>
      </c>
      <c r="F394" s="17">
        <v>50.0000</v>
      </c>
      <c r="G394" s="17">
        <f ca="1">((G393 + F394) - E394)</f>
        <v>0</v>
      </c>
      <c r="H394" s="17">
        <v>50.0000</v>
      </c>
      <c r="I394" s="17">
        <v>0</v>
      </c>
    </row>
    <row r="395" ht="10.95" customHeight="true" customFormat="true" s="9">
      <c r="A395" s="15">
        <v>46220</v>
      </c>
      <c r="B395" s="16" t="s">
        <v>85</v>
      </c>
      <c r="C395" s="16" t="s">
        <v>93</v>
      </c>
      <c r="D395" s="16" t="s">
        <v>94</v>
      </c>
      <c r="E395" s="17">
        <v>0</v>
      </c>
      <c r="F395" s="17">
        <v>50.0000</v>
      </c>
      <c r="G395" s="17">
        <f ca="1">((G394 + F395) - E395)</f>
        <v>0</v>
      </c>
      <c r="H395" s="17">
        <v>50.0000</v>
      </c>
      <c r="I395" s="17">
        <v>0</v>
      </c>
    </row>
    <row r="396" ht="10.95" customHeight="true" customFormat="true" s="9">
      <c r="A396" s="15">
        <v>46220</v>
      </c>
      <c r="B396" s="16" t="s">
        <v>85</v>
      </c>
      <c r="C396" s="16" t="s">
        <v>95</v>
      </c>
      <c r="D396" s="16" t="s">
        <v>91</v>
      </c>
      <c r="E396" s="17">
        <v>0</v>
      </c>
      <c r="F396" s="17">
        <v>50.0000</v>
      </c>
      <c r="G396" s="17">
        <f ca="1">((G395 + F396) - E396)</f>
        <v>0</v>
      </c>
      <c r="H396" s="17">
        <v>50.0000</v>
      </c>
      <c r="I396" s="17">
        <v>0</v>
      </c>
    </row>
    <row r="397" ht="10.95" customHeight="true" customFormat="true" s="9">
      <c r="A397" s="15">
        <v>46220</v>
      </c>
      <c r="B397" s="16" t="s">
        <v>85</v>
      </c>
      <c r="C397" s="16" t="s">
        <v>93</v>
      </c>
      <c r="D397" s="16" t="s">
        <v>91</v>
      </c>
      <c r="E397" s="17">
        <v>0</v>
      </c>
      <c r="F397" s="17">
        <v>50.0000</v>
      </c>
      <c r="G397" s="17">
        <f ca="1">((G396 + F397) - E397)</f>
        <v>0</v>
      </c>
      <c r="H397" s="17">
        <v>50.0000</v>
      </c>
      <c r="I397" s="17">
        <v>0</v>
      </c>
    </row>
    <row r="398" ht="10.95" customHeight="true" customFormat="true" s="9">
      <c r="A398" s="15">
        <v>46221</v>
      </c>
      <c r="B398" s="16" t="s">
        <v>14</v>
      </c>
      <c r="C398" s="16" t="s">
        <v>20</v>
      </c>
      <c r="D398" s="16" t="s">
        <v>21</v>
      </c>
      <c r="E398" s="17">
        <v>19.9000</v>
      </c>
      <c r="F398" s="17">
        <v>0</v>
      </c>
      <c r="G398" s="17">
        <f ca="1">((G397 + F398) - E398)</f>
        <v>0</v>
      </c>
      <c r="H398" s="17">
        <v>-19.9000</v>
      </c>
      <c r="I398" s="17">
        <v>0</v>
      </c>
    </row>
    <row r="399" ht="10.95" customHeight="true" customFormat="true" s="9">
      <c r="A399" s="15">
        <v>46224</v>
      </c>
      <c r="B399" s="16" t="s">
        <v>162</v>
      </c>
      <c r="C399" s="16" t="s">
        <v>175</v>
      </c>
      <c r="D399" s="16"/>
      <c r="E399" s="17">
        <v>11.4500</v>
      </c>
      <c r="F399" s="17">
        <v>0</v>
      </c>
      <c r="G399" s="17">
        <f ca="1">((G398 + F399) - E399)</f>
        <v>0</v>
      </c>
      <c r="H399" s="17">
        <v>-11.4500</v>
      </c>
      <c r="I399" s="17">
        <v>0</v>
      </c>
    </row>
    <row r="400" ht="10.95" customHeight="true" customFormat="true" s="9">
      <c r="A400" s="15">
        <v>46224</v>
      </c>
      <c r="B400" s="16" t="s">
        <v>162</v>
      </c>
      <c r="C400" s="16" t="s">
        <v>176</v>
      </c>
      <c r="D400" s="16"/>
      <c r="E400" s="17">
        <v>150.0000</v>
      </c>
      <c r="F400" s="17">
        <v>0</v>
      </c>
      <c r="G400" s="17">
        <f ca="1">((G399 + F400) - E400)</f>
        <v>0</v>
      </c>
      <c r="H400" s="17">
        <v>-150.0000</v>
      </c>
      <c r="I400" s="17">
        <v>0</v>
      </c>
    </row>
    <row r="401" ht="10.95" customHeight="true" customFormat="true" s="9">
      <c r="A401" s="15">
        <v>46226</v>
      </c>
      <c r="B401" s="16" t="s">
        <v>85</v>
      </c>
      <c r="C401" s="16" t="s">
        <v>96</v>
      </c>
      <c r="D401" s="16" t="s">
        <v>97</v>
      </c>
      <c r="E401" s="17">
        <v>0</v>
      </c>
      <c r="F401" s="17">
        <v>135.0000</v>
      </c>
      <c r="G401" s="17">
        <f ca="1">((G400 + F401) - E401)</f>
        <v>0</v>
      </c>
      <c r="H401" s="17">
        <v>135.0000</v>
      </c>
      <c r="I401" s="17">
        <v>0</v>
      </c>
    </row>
    <row r="402" ht="10.95" customHeight="true" customFormat="true" s="9">
      <c r="A402" s="15">
        <v>46226</v>
      </c>
      <c r="B402" s="16" t="s">
        <v>162</v>
      </c>
      <c r="C402" s="16" t="s">
        <v>177</v>
      </c>
      <c r="D402" s="16"/>
      <c r="E402" s="17">
        <v>5.9300</v>
      </c>
      <c r="F402" s="17">
        <v>0</v>
      </c>
      <c r="G402" s="17">
        <f ca="1">((G401 + F402) - E402)</f>
        <v>0</v>
      </c>
      <c r="H402" s="17">
        <v>-5.9300</v>
      </c>
      <c r="I402" s="17">
        <v>0</v>
      </c>
    </row>
    <row r="403" ht="10.95" customHeight="true" customFormat="true" s="9">
      <c r="A403" s="15">
        <v>46229</v>
      </c>
      <c r="B403" s="16" t="s">
        <v>98</v>
      </c>
      <c r="C403" s="16" t="s">
        <v>93</v>
      </c>
      <c r="D403" s="16" t="s">
        <v>99</v>
      </c>
      <c r="E403" s="17">
        <v>50.0000</v>
      </c>
      <c r="F403" s="17">
        <v>0</v>
      </c>
      <c r="G403" s="17">
        <f ca="1">((G402 + F403) - E403)</f>
        <v>0</v>
      </c>
      <c r="H403" s="17">
        <v>-50.0000</v>
      </c>
      <c r="I403" s="17">
        <v>0</v>
      </c>
    </row>
    <row r="404" ht="10.95" customHeight="true" customFormat="true" s="9">
      <c r="A404" s="15">
        <v>46229</v>
      </c>
      <c r="B404" s="16" t="s">
        <v>85</v>
      </c>
      <c r="C404" s="16" t="s">
        <v>101</v>
      </c>
      <c r="D404" s="16" t="s">
        <v>102</v>
      </c>
      <c r="E404" s="17">
        <v>0</v>
      </c>
      <c r="F404" s="17">
        <v>100.0000</v>
      </c>
      <c r="G404" s="17">
        <f ca="1">((G403 + F404) - E404)</f>
        <v>0</v>
      </c>
      <c r="H404" s="17">
        <v>100.0000</v>
      </c>
      <c r="I404" s="17">
        <v>0</v>
      </c>
    </row>
    <row r="405" ht="10.95" customHeight="true" customFormat="true" s="9">
      <c r="A405" s="15">
        <v>46233</v>
      </c>
      <c r="B405" s="16" t="s">
        <v>85</v>
      </c>
      <c r="C405" s="16" t="s">
        <v>107</v>
      </c>
      <c r="D405" s="16" t="s">
        <v>108</v>
      </c>
      <c r="E405" s="17">
        <v>0</v>
      </c>
      <c r="F405" s="17">
        <v>25.0000</v>
      </c>
      <c r="G405" s="17">
        <f ca="1">((G404 + F405) - E405)</f>
        <v>0</v>
      </c>
      <c r="H405" s="17">
        <v>25.0000</v>
      </c>
      <c r="I405" s="17">
        <v>0</v>
      </c>
    </row>
    <row r="406" ht="10.95" customHeight="true" customFormat="true" s="9">
      <c r="A406" s="15">
        <v>46233</v>
      </c>
      <c r="B406" s="16" t="s">
        <v>14</v>
      </c>
      <c r="C406" s="16" t="s">
        <v>24</v>
      </c>
      <c r="D406" s="16"/>
      <c r="E406" s="17">
        <v>108.5000</v>
      </c>
      <c r="F406" s="17">
        <v>0</v>
      </c>
      <c r="G406" s="17">
        <f ca="1">((G405 + F406) - E406)</f>
        <v>0</v>
      </c>
      <c r="H406" s="17">
        <v>-108.5000</v>
      </c>
      <c r="I406" s="17">
        <v>0</v>
      </c>
    </row>
    <row r="407" ht="10.95" customHeight="true" customFormat="true" s="9">
      <c r="A407" s="15">
        <v>46233</v>
      </c>
      <c r="B407" s="16" t="s">
        <v>14</v>
      </c>
      <c r="C407" s="16" t="s">
        <v>25</v>
      </c>
      <c r="D407" s="16" t="s">
        <v>26</v>
      </c>
      <c r="E407" s="17">
        <v>35.0000</v>
      </c>
      <c r="F407" s="17">
        <v>0</v>
      </c>
      <c r="G407" s="17">
        <f ca="1">((G406 + F407) - E407)</f>
        <v>0</v>
      </c>
      <c r="H407" s="17">
        <v>-35.0000</v>
      </c>
      <c r="I407" s="17">
        <v>0</v>
      </c>
    </row>
    <row r="408" ht="10.95" customHeight="true" customFormat="true" s="9">
      <c r="A408" s="15">
        <v>46234</v>
      </c>
      <c r="B408" s="16" t="s">
        <v>98</v>
      </c>
      <c r="C408" s="16" t="s">
        <v>96</v>
      </c>
      <c r="D408" s="16" t="s">
        <v>109</v>
      </c>
      <c r="E408" s="17">
        <v>50.0000</v>
      </c>
      <c r="F408" s="17">
        <v>0</v>
      </c>
      <c r="G408" s="17">
        <f ca="1">((G407 + F408) - E408)</f>
        <v>0</v>
      </c>
      <c r="H408" s="17">
        <v>-50.0000</v>
      </c>
      <c r="I408" s="17">
        <v>0</v>
      </c>
    </row>
    <row r="409" ht="10.95" customHeight="true" customFormat="true" s="9">
      <c r="A409" s="15">
        <v>46234</v>
      </c>
      <c r="B409" s="16" t="s">
        <v>85</v>
      </c>
      <c r="C409" s="16" t="s">
        <v>96</v>
      </c>
      <c r="D409" s="16" t="s">
        <v>110</v>
      </c>
      <c r="E409" s="17">
        <v>0</v>
      </c>
      <c r="F409" s="17">
        <v>50.0000</v>
      </c>
      <c r="G409" s="17">
        <f ca="1">((G408 + F409) - E409)</f>
        <v>0</v>
      </c>
      <c r="H409" s="17">
        <v>50.0000</v>
      </c>
      <c r="I409" s="17">
        <v>0</v>
      </c>
    </row>
    <row r="410" ht="10.95" customHeight="true" customFormat="true" s="9">
      <c r="A410" s="15">
        <v>46234</v>
      </c>
      <c r="B410" s="16" t="s">
        <v>27</v>
      </c>
      <c r="C410" s="16" t="s">
        <v>24</v>
      </c>
      <c r="D410" s="16" t="s">
        <v>28</v>
      </c>
      <c r="E410" s="17">
        <v>0</v>
      </c>
      <c r="F410" s="17">
        <v>19.9000</v>
      </c>
      <c r="G410" s="17">
        <f ca="1">((G409 + F410) - E410)</f>
        <v>0</v>
      </c>
      <c r="H410" s="17">
        <v>19.9000</v>
      </c>
      <c r="I410" s="17">
        <v>0</v>
      </c>
    </row>
    <row r="411" ht="10.95" customHeight="true" customFormat="true" s="9">
      <c r="A411" s="15">
        <v>46234</v>
      </c>
      <c r="B411" s="16" t="s">
        <v>162</v>
      </c>
      <c r="C411" s="16" t="s">
        <v>183</v>
      </c>
      <c r="D411" s="16"/>
      <c r="E411" s="17">
        <v>4.5500</v>
      </c>
      <c r="F411" s="17">
        <v>0</v>
      </c>
      <c r="G411" s="17">
        <f ca="1">((G410 + F411) - E411)</f>
        <v>0</v>
      </c>
      <c r="H411" s="17">
        <v>-4.5500</v>
      </c>
      <c r="I411" s="17">
        <v>0</v>
      </c>
    </row>
    <row r="412" ht="10.95" customHeight="true" customFormat="true" s="9">
      <c r="A412" s="15">
        <v>46237</v>
      </c>
      <c r="B412" s="16" t="s">
        <v>14</v>
      </c>
      <c r="C412" s="16" t="s">
        <v>29</v>
      </c>
      <c r="D412" s="16" t="s">
        <v>30</v>
      </c>
      <c r="E412" s="17">
        <v>3.2500</v>
      </c>
      <c r="F412" s="17">
        <v>0</v>
      </c>
      <c r="G412" s="17">
        <f ca="1">((G411 + F412) - E412)</f>
        <v>0</v>
      </c>
      <c r="H412" s="17">
        <v>-3.2500</v>
      </c>
      <c r="I412" s="17">
        <v>0</v>
      </c>
    </row>
    <row r="413" ht="10.95" customHeight="true" customFormat="true" s="9">
      <c r="A413" s="15">
        <v>46238</v>
      </c>
      <c r="B413" s="16" t="s">
        <v>162</v>
      </c>
      <c r="C413" s="16" t="s">
        <v>177</v>
      </c>
      <c r="D413" s="16"/>
      <c r="E413" s="17">
        <v>1.6800</v>
      </c>
      <c r="F413" s="17">
        <v>0</v>
      </c>
      <c r="G413" s="17">
        <f ca="1">((G412 + F413) - E413)</f>
        <v>0</v>
      </c>
      <c r="H413" s="17">
        <v>-1.6800</v>
      </c>
      <c r="I413" s="17">
        <v>0</v>
      </c>
    </row>
    <row r="414" ht="10.95" customHeight="true" customFormat="true" s="9">
      <c r="A414" s="15">
        <v>46239</v>
      </c>
      <c r="B414" s="16" t="s">
        <v>85</v>
      </c>
      <c r="C414" s="16" t="s">
        <v>111</v>
      </c>
      <c r="D414" s="16" t="s">
        <v>112</v>
      </c>
      <c r="E414" s="17">
        <v>0</v>
      </c>
      <c r="F414" s="17">
        <v>560.0000</v>
      </c>
      <c r="G414" s="17">
        <f ca="1">((G413 + F414) - E414)</f>
        <v>0</v>
      </c>
      <c r="H414" s="17">
        <v>560.0000</v>
      </c>
      <c r="I414" s="17">
        <v>0</v>
      </c>
    </row>
    <row r="415" ht="10.95" customHeight="true" customFormat="true" s="9">
      <c r="A415" s="15">
        <v>46239</v>
      </c>
      <c r="B415" s="16" t="s">
        <v>85</v>
      </c>
      <c r="C415" s="16" t="s">
        <v>115</v>
      </c>
      <c r="D415" s="16" t="s">
        <v>116</v>
      </c>
      <c r="E415" s="17">
        <v>0</v>
      </c>
      <c r="F415" s="17">
        <v>105.0000</v>
      </c>
      <c r="G415" s="17">
        <f ca="1">((G414 + F415) - E415)</f>
        <v>0</v>
      </c>
      <c r="H415" s="17">
        <v>105.0000</v>
      </c>
      <c r="I415" s="17">
        <v>0</v>
      </c>
    </row>
    <row r="416" ht="10.95" customHeight="true" customFormat="true" s="9">
      <c r="A416" s="15">
        <v>46239</v>
      </c>
      <c r="B416" s="16" t="s">
        <v>14</v>
      </c>
      <c r="C416" s="16" t="s">
        <v>33</v>
      </c>
      <c r="D416" s="16"/>
      <c r="E416" s="17">
        <v>6.9000</v>
      </c>
      <c r="F416" s="17">
        <v>0</v>
      </c>
      <c r="G416" s="17">
        <f ca="1">((G415 + F416) - E416)</f>
        <v>0</v>
      </c>
      <c r="H416" s="17">
        <v>-6.9000</v>
      </c>
      <c r="I416" s="17">
        <v>0</v>
      </c>
    </row>
    <row r="417" ht="10.95" customHeight="true" customFormat="true" s="9">
      <c r="A417" s="15">
        <v>46239</v>
      </c>
      <c r="B417" s="16" t="s">
        <v>162</v>
      </c>
      <c r="C417" s="16" t="s">
        <v>189</v>
      </c>
      <c r="D417" s="16"/>
      <c r="E417" s="17">
        <v>4.0900</v>
      </c>
      <c r="F417" s="17">
        <v>0</v>
      </c>
      <c r="G417" s="17">
        <f ca="1">((G416 + F417) - E417)</f>
        <v>0</v>
      </c>
      <c r="H417" s="17">
        <v>-4.0900</v>
      </c>
      <c r="I417" s="17">
        <v>0</v>
      </c>
    </row>
    <row r="418" ht="10.95" customHeight="true" customFormat="true" s="9">
      <c r="A418" s="15">
        <v>46239</v>
      </c>
      <c r="B418" s="16" t="s">
        <v>85</v>
      </c>
      <c r="C418" s="16" t="s">
        <v>15</v>
      </c>
      <c r="D418" s="16" t="s">
        <v>117</v>
      </c>
      <c r="E418" s="17">
        <v>0</v>
      </c>
      <c r="F418" s="17">
        <v>136.0000</v>
      </c>
      <c r="G418" s="17">
        <f ca="1">((G417 + F418) - E418)</f>
        <v>0</v>
      </c>
      <c r="H418" s="17">
        <v>136.0000</v>
      </c>
      <c r="I418" s="17">
        <v>0</v>
      </c>
    </row>
    <row r="419" ht="10.95" customHeight="true" customFormat="true" s="9">
      <c r="A419" s="15">
        <v>46247</v>
      </c>
      <c r="B419" s="16" t="s">
        <v>162</v>
      </c>
      <c r="C419" s="16" t="s">
        <v>163</v>
      </c>
      <c r="D419" s="16"/>
      <c r="E419" s="17">
        <v>1.2000</v>
      </c>
      <c r="F419" s="17">
        <v>0</v>
      </c>
      <c r="G419" s="17">
        <f ca="1">((G418 + F419) - E419)</f>
        <v>0</v>
      </c>
      <c r="H419" s="17">
        <v>-1.2000</v>
      </c>
      <c r="I419" s="17">
        <v>0</v>
      </c>
    </row>
    <row r="420" ht="10.95" customHeight="true" customFormat="true" s="9">
      <c r="A420" s="15">
        <v>46249</v>
      </c>
      <c r="B420" s="16" t="s">
        <v>98</v>
      </c>
      <c r="C420" s="16" t="s">
        <v>15</v>
      </c>
      <c r="D420" s="16" t="s">
        <v>117</v>
      </c>
      <c r="E420" s="17">
        <v>2.4000</v>
      </c>
      <c r="F420" s="17">
        <v>0</v>
      </c>
      <c r="G420" s="17">
        <f ca="1">((G419 + F420) - E420)</f>
        <v>0</v>
      </c>
      <c r="H420" s="17">
        <v>-2.4000</v>
      </c>
      <c r="I420" s="17">
        <v>0</v>
      </c>
    </row>
    <row r="421" ht="10.95" customHeight="true" customFormat="true" s="9">
      <c r="A421" s="15">
        <v>46249</v>
      </c>
      <c r="B421" s="16" t="s">
        <v>85</v>
      </c>
      <c r="C421" s="16" t="s">
        <v>101</v>
      </c>
      <c r="D421" s="16" t="s">
        <v>120</v>
      </c>
      <c r="E421" s="17">
        <v>0</v>
      </c>
      <c r="F421" s="17">
        <v>60.0000</v>
      </c>
      <c r="G421" s="17">
        <f ca="1">((G420 + F421) - E421)</f>
        <v>0</v>
      </c>
      <c r="H421" s="17">
        <v>60.0000</v>
      </c>
      <c r="I421" s="17">
        <v>0</v>
      </c>
    </row>
    <row r="422" ht="10.95" customHeight="true" customFormat="true" s="9">
      <c r="A422" s="15">
        <v>46250</v>
      </c>
      <c r="B422" s="16" t="s">
        <v>249</v>
      </c>
      <c r="C422" s="16" t="s">
        <v>250</v>
      </c>
      <c r="D422" s="16"/>
      <c r="E422" s="17">
        <v>26.3100</v>
      </c>
      <c r="F422" s="17">
        <v>0</v>
      </c>
      <c r="G422" s="17">
        <f ca="1">((G421 + F422) - E422)</f>
        <v>0</v>
      </c>
      <c r="H422" s="17">
        <v>-26.3100</v>
      </c>
      <c r="I422" s="17">
        <v>0</v>
      </c>
    </row>
    <row r="423" ht="10.95" customHeight="true" customFormat="true" s="9">
      <c r="A423" s="15">
        <v>46250</v>
      </c>
      <c r="B423" s="16" t="s">
        <v>14</v>
      </c>
      <c r="C423" s="16" t="s">
        <v>37</v>
      </c>
      <c r="D423" s="16"/>
      <c r="E423" s="17">
        <v>15.5000</v>
      </c>
      <c r="F423" s="17">
        <v>0</v>
      </c>
      <c r="G423" s="17">
        <f ca="1">((G422 + F423) - E423)</f>
        <v>0</v>
      </c>
      <c r="H423" s="17">
        <v>-15.5000</v>
      </c>
      <c r="I423" s="17">
        <v>0</v>
      </c>
    </row>
    <row r="424" ht="10.95" customHeight="true" customFormat="true" s="9">
      <c r="A424" s="15">
        <v>46250</v>
      </c>
      <c r="B424" s="16" t="s">
        <v>260</v>
      </c>
      <c r="C424" s="16" t="s">
        <v>261</v>
      </c>
      <c r="D424" s="16" t="s">
        <v>262</v>
      </c>
      <c r="E424" s="17">
        <v>75.0000</v>
      </c>
      <c r="F424" s="17">
        <v>0</v>
      </c>
      <c r="G424" s="17">
        <f ca="1">((G423 + F424) - E424)</f>
        <v>0</v>
      </c>
      <c r="H424" s="17">
        <v>-75.0000</v>
      </c>
      <c r="I424" s="17">
        <v>0</v>
      </c>
    </row>
    <row r="425" ht="10.95" customHeight="true" customFormat="true" s="9">
      <c r="A425" s="15">
        <v>46251</v>
      </c>
      <c r="B425" s="16" t="s">
        <v>14</v>
      </c>
      <c r="C425" s="16" t="s">
        <v>38</v>
      </c>
      <c r="D425" s="16" t="s">
        <v>39</v>
      </c>
      <c r="E425" s="17">
        <v>96.6900</v>
      </c>
      <c r="F425" s="17">
        <v>0</v>
      </c>
      <c r="G425" s="17">
        <f ca="1">((G424 + F425) - E425)</f>
        <v>0</v>
      </c>
      <c r="H425" s="17">
        <v>-96.6900</v>
      </c>
      <c r="I425" s="17">
        <v>0</v>
      </c>
    </row>
    <row r="426" ht="10.95" customHeight="true" customFormat="true" s="9">
      <c r="A426" s="15">
        <v>46251</v>
      </c>
      <c r="B426" s="16" t="s">
        <v>14</v>
      </c>
      <c r="C426" s="16" t="s">
        <v>40</v>
      </c>
      <c r="D426" s="16" t="s">
        <v>41</v>
      </c>
      <c r="E426" s="17">
        <v>9.9000</v>
      </c>
      <c r="F426" s="17">
        <v>0</v>
      </c>
      <c r="G426" s="17">
        <f ca="1">((G425 + F426) - E426)</f>
        <v>0</v>
      </c>
      <c r="H426" s="17">
        <v>-9.9000</v>
      </c>
      <c r="I426" s="17">
        <v>0</v>
      </c>
    </row>
    <row r="427" ht="10.95" customHeight="true" customFormat="true" s="9">
      <c r="A427" s="15">
        <v>46251</v>
      </c>
      <c r="B427" s="16" t="s">
        <v>14</v>
      </c>
      <c r="C427" s="16" t="s">
        <v>40</v>
      </c>
      <c r="D427" s="16" t="s">
        <v>41</v>
      </c>
      <c r="E427" s="17">
        <v>1.0500</v>
      </c>
      <c r="F427" s="17">
        <v>0</v>
      </c>
      <c r="G427" s="17">
        <f ca="1">((G426 + F427) - E427)</f>
        <v>0</v>
      </c>
      <c r="H427" s="17">
        <v>-1.0500</v>
      </c>
      <c r="I427" s="17">
        <v>0</v>
      </c>
    </row>
    <row r="428" ht="10.95" customHeight="true" customFormat="true" s="9">
      <c r="A428" s="15">
        <v>46251</v>
      </c>
      <c r="B428" s="16" t="s">
        <v>14</v>
      </c>
      <c r="C428" s="16" t="s">
        <v>40</v>
      </c>
      <c r="D428" s="16" t="s">
        <v>41</v>
      </c>
      <c r="E428" s="17">
        <v>1.5900</v>
      </c>
      <c r="F428" s="17">
        <v>0</v>
      </c>
      <c r="G428" s="17">
        <f ca="1">((G427 + F428) - E428)</f>
        <v>0</v>
      </c>
      <c r="H428" s="17">
        <v>-1.5900</v>
      </c>
      <c r="I428" s="17">
        <v>0</v>
      </c>
    </row>
    <row r="429" ht="10.95" customHeight="true" customFormat="true" s="9">
      <c r="A429" s="15">
        <v>46251</v>
      </c>
      <c r="B429" s="16" t="s">
        <v>14</v>
      </c>
      <c r="C429" s="16" t="s">
        <v>18</v>
      </c>
      <c r="D429" s="16" t="s">
        <v>42</v>
      </c>
      <c r="E429" s="17">
        <v>13.5000</v>
      </c>
      <c r="F429" s="17">
        <v>0</v>
      </c>
      <c r="G429" s="17">
        <f ca="1">((G428 + F429) - E429)</f>
        <v>0</v>
      </c>
      <c r="H429" s="17">
        <v>-13.5000</v>
      </c>
      <c r="I429" s="17">
        <v>0</v>
      </c>
    </row>
    <row r="430" ht="10.95" customHeight="true" customFormat="true" s="9">
      <c r="A430" s="15">
        <v>46251</v>
      </c>
      <c r="B430" s="16" t="s">
        <v>85</v>
      </c>
      <c r="C430" s="16" t="s">
        <v>92</v>
      </c>
      <c r="D430" s="16" t="s">
        <v>91</v>
      </c>
      <c r="E430" s="17">
        <v>0</v>
      </c>
      <c r="F430" s="17">
        <v>50.0000</v>
      </c>
      <c r="G430" s="17">
        <f ca="1">((G429 + F430) - E430)</f>
        <v>0</v>
      </c>
      <c r="H430" s="17">
        <v>50.0000</v>
      </c>
      <c r="I430" s="17">
        <v>0</v>
      </c>
    </row>
    <row r="431" ht="10.95" customHeight="true" customFormat="true" s="9">
      <c r="A431" s="15">
        <v>46251</v>
      </c>
      <c r="B431" s="16" t="s">
        <v>85</v>
      </c>
      <c r="C431" s="16" t="s">
        <v>95</v>
      </c>
      <c r="D431" s="16" t="s">
        <v>91</v>
      </c>
      <c r="E431" s="17">
        <v>0</v>
      </c>
      <c r="F431" s="17">
        <v>50.0000</v>
      </c>
      <c r="G431" s="17">
        <f ca="1">((G430 + F431) - E431)</f>
        <v>0</v>
      </c>
      <c r="H431" s="17">
        <v>50.0000</v>
      </c>
      <c r="I431" s="17">
        <v>0</v>
      </c>
    </row>
    <row r="432" ht="10.95" customHeight="true" customFormat="true" s="9">
      <c r="A432" s="15">
        <v>46251</v>
      </c>
      <c r="B432" s="16" t="s">
        <v>85</v>
      </c>
      <c r="C432" s="16" t="s">
        <v>90</v>
      </c>
      <c r="D432" s="16" t="s">
        <v>91</v>
      </c>
      <c r="E432" s="17">
        <v>0</v>
      </c>
      <c r="F432" s="17">
        <v>50.0000</v>
      </c>
      <c r="G432" s="17">
        <f ca="1">((G431 + F432) - E432)</f>
        <v>0</v>
      </c>
      <c r="H432" s="17">
        <v>50.0000</v>
      </c>
      <c r="I432" s="17">
        <v>0</v>
      </c>
    </row>
    <row r="433" ht="10.95" customHeight="true" customFormat="true" s="9">
      <c r="A433" s="15">
        <v>46251</v>
      </c>
      <c r="B433" s="16" t="s">
        <v>85</v>
      </c>
      <c r="C433" s="16" t="s">
        <v>93</v>
      </c>
      <c r="D433" s="16" t="s">
        <v>91</v>
      </c>
      <c r="E433" s="17">
        <v>0</v>
      </c>
      <c r="F433" s="17">
        <v>50.0000</v>
      </c>
      <c r="G433" s="17">
        <f ca="1">((G432 + F433) - E433)</f>
        <v>0</v>
      </c>
      <c r="H433" s="17">
        <v>50.0000</v>
      </c>
      <c r="I433" s="17">
        <v>0</v>
      </c>
    </row>
    <row r="434" ht="10.95" customHeight="true" customFormat="true" s="9">
      <c r="A434" s="15">
        <v>46251</v>
      </c>
      <c r="B434" s="16" t="s">
        <v>162</v>
      </c>
      <c r="C434" s="16" t="s">
        <v>189</v>
      </c>
      <c r="D434" s="16"/>
      <c r="E434" s="17">
        <v>5.9100</v>
      </c>
      <c r="F434" s="17">
        <v>0</v>
      </c>
      <c r="G434" s="17">
        <f ca="1">((G433 + F434) - E434)</f>
        <v>0</v>
      </c>
      <c r="H434" s="17">
        <v>-5.9100</v>
      </c>
      <c r="I434" s="17">
        <v>0</v>
      </c>
    </row>
    <row r="435" ht="10.95" customHeight="true" customFormat="true" s="9">
      <c r="A435" s="15">
        <v>46252</v>
      </c>
      <c r="B435" s="16" t="s">
        <v>162</v>
      </c>
      <c r="C435" s="16" t="s">
        <v>177</v>
      </c>
      <c r="D435" s="16"/>
      <c r="E435" s="17">
        <v>4.0900</v>
      </c>
      <c r="F435" s="17">
        <v>0</v>
      </c>
      <c r="G435" s="17">
        <f ca="1">((G434 + F435) - E435)</f>
        <v>0</v>
      </c>
      <c r="H435" s="17">
        <v>-4.0900</v>
      </c>
      <c r="I435" s="17">
        <v>0</v>
      </c>
    </row>
    <row r="436" ht="10.95" customHeight="true" customFormat="true" s="9">
      <c r="A436" s="15">
        <v>46254</v>
      </c>
      <c r="B436" s="16" t="s">
        <v>85</v>
      </c>
      <c r="C436" s="16" t="s">
        <v>122</v>
      </c>
      <c r="D436" s="16" t="s">
        <v>123</v>
      </c>
      <c r="E436" s="17">
        <v>0</v>
      </c>
      <c r="F436" s="17">
        <v>325.0000</v>
      </c>
      <c r="G436" s="17">
        <f ca="1">((G435 + F436) - E436)</f>
        <v>0</v>
      </c>
      <c r="H436" s="17">
        <v>325.0000</v>
      </c>
      <c r="I436" s="17">
        <v>0</v>
      </c>
    </row>
    <row r="437" ht="10.95" customHeight="true" customFormat="true" s="9">
      <c r="A437" s="15">
        <v>46255</v>
      </c>
      <c r="B437" s="16" t="s">
        <v>162</v>
      </c>
      <c r="C437" s="16" t="s">
        <v>176</v>
      </c>
      <c r="D437" s="16"/>
      <c r="E437" s="17">
        <v>150.0000</v>
      </c>
      <c r="F437" s="17">
        <v>0</v>
      </c>
      <c r="G437" s="17">
        <f ca="1">((G436 + F437) - E437)</f>
        <v>0</v>
      </c>
      <c r="H437" s="17">
        <v>-150.0000</v>
      </c>
      <c r="I437" s="17">
        <v>0</v>
      </c>
    </row>
    <row r="438" ht="10.95" customHeight="true" customFormat="true" s="9">
      <c r="A438" s="15">
        <v>46257</v>
      </c>
      <c r="B438" s="16" t="s">
        <v>162</v>
      </c>
      <c r="C438" s="16" t="s">
        <v>175</v>
      </c>
      <c r="D438" s="16"/>
      <c r="E438" s="17">
        <v>3.5900</v>
      </c>
      <c r="F438" s="17">
        <v>0</v>
      </c>
      <c r="G438" s="17">
        <f ca="1">((G437 + F438) - E438)</f>
        <v>0</v>
      </c>
      <c r="H438" s="17">
        <v>-3.5900</v>
      </c>
      <c r="I438" s="17">
        <v>0</v>
      </c>
    </row>
    <row r="439" ht="10.95" customHeight="true" customFormat="true" s="9">
      <c r="A439" s="15">
        <v>46260</v>
      </c>
      <c r="B439" s="16" t="s">
        <v>85</v>
      </c>
      <c r="C439" s="16" t="s">
        <v>86</v>
      </c>
      <c r="D439" s="16" t="s">
        <v>125</v>
      </c>
      <c r="E439" s="17">
        <v>0</v>
      </c>
      <c r="F439" s="17">
        <v>420.0000</v>
      </c>
      <c r="G439" s="17">
        <f ca="1">((G438 + F439) - E439)</f>
        <v>0</v>
      </c>
      <c r="H439" s="17">
        <v>420.0000</v>
      </c>
      <c r="I439" s="17">
        <v>0</v>
      </c>
    </row>
    <row r="440" ht="10.95" customHeight="true" customFormat="true" s="9">
      <c r="A440" s="15">
        <v>46260</v>
      </c>
      <c r="B440" s="16" t="s">
        <v>14</v>
      </c>
      <c r="C440" s="16" t="s">
        <v>44</v>
      </c>
      <c r="D440" s="16"/>
      <c r="E440" s="17">
        <v>9.5000</v>
      </c>
      <c r="F440" s="17">
        <v>0</v>
      </c>
      <c r="G440" s="17">
        <f ca="1">((G439 + F440) - E440)</f>
        <v>0</v>
      </c>
      <c r="H440" s="17">
        <v>-9.5000</v>
      </c>
      <c r="I440" s="17">
        <v>0</v>
      </c>
    </row>
    <row r="441" ht="10.95" customHeight="true" customFormat="true" s="9">
      <c r="A441" s="15">
        <v>46264</v>
      </c>
      <c r="B441" s="16" t="s">
        <v>14</v>
      </c>
      <c r="C441" s="16" t="s">
        <v>25</v>
      </c>
      <c r="D441" s="16" t="s">
        <v>45</v>
      </c>
      <c r="E441" s="17">
        <v>29.5000</v>
      </c>
      <c r="F441" s="17">
        <v>0</v>
      </c>
      <c r="G441" s="17">
        <f ca="1">((G440 + F441) - E441)</f>
        <v>0</v>
      </c>
      <c r="H441" s="17">
        <v>-29.5000</v>
      </c>
      <c r="I441" s="17">
        <v>0</v>
      </c>
    </row>
    <row r="442" ht="10.95" customHeight="true" customFormat="true" s="9">
      <c r="A442" s="15">
        <v>46268</v>
      </c>
      <c r="B442" s="16" t="s">
        <v>14</v>
      </c>
      <c r="C442" s="16" t="s">
        <v>29</v>
      </c>
      <c r="D442" s="16" t="s">
        <v>50</v>
      </c>
      <c r="E442" s="17">
        <v>3.2500</v>
      </c>
      <c r="F442" s="17">
        <v>0</v>
      </c>
      <c r="G442" s="17">
        <f ca="1">((G441 + F442) - E442)</f>
        <v>0</v>
      </c>
      <c r="H442" s="17">
        <v>-3.2500</v>
      </c>
      <c r="I442" s="17">
        <v>0</v>
      </c>
    </row>
    <row r="443" ht="10.95" customHeight="true" customFormat="true" s="9">
      <c r="A443" s="15">
        <v>46268</v>
      </c>
      <c r="B443" s="16" t="s">
        <v>98</v>
      </c>
      <c r="C443" s="16" t="s">
        <v>86</v>
      </c>
      <c r="D443" s="16" t="s">
        <v>125</v>
      </c>
      <c r="E443" s="17">
        <v>35.0000</v>
      </c>
      <c r="F443" s="17">
        <v>0</v>
      </c>
      <c r="G443" s="17">
        <f ca="1">((G442 + F443) - E443)</f>
        <v>0</v>
      </c>
      <c r="H443" s="17">
        <v>-35.0000</v>
      </c>
      <c r="I443" s="17">
        <v>0</v>
      </c>
    </row>
    <row r="444" ht="10.95" customHeight="true" customFormat="true" s="9">
      <c r="A444" s="15">
        <v>46270</v>
      </c>
      <c r="B444" s="16" t="s">
        <v>85</v>
      </c>
      <c r="C444" s="16" t="s">
        <v>129</v>
      </c>
      <c r="D444" s="16" t="s">
        <v>130</v>
      </c>
      <c r="E444" s="17">
        <v>0</v>
      </c>
      <c r="F444" s="17">
        <v>120.0000</v>
      </c>
      <c r="G444" s="17">
        <f ca="1">((G443 + F444) - E444)</f>
        <v>0</v>
      </c>
      <c r="H444" s="17">
        <v>120.0000</v>
      </c>
      <c r="I444" s="17">
        <v>0</v>
      </c>
    </row>
    <row r="445" ht="10.95" customHeight="true" customFormat="true" s="9">
      <c r="A445" s="15">
        <v>46270</v>
      </c>
      <c r="B445" s="16" t="s">
        <v>14</v>
      </c>
      <c r="C445" s="16" t="s">
        <v>33</v>
      </c>
      <c r="D445" s="16"/>
      <c r="E445" s="17">
        <v>6.9000</v>
      </c>
      <c r="F445" s="17">
        <v>0</v>
      </c>
      <c r="G445" s="17">
        <f ca="1">((G444 + F445) - E445)</f>
        <v>0</v>
      </c>
      <c r="H445" s="17">
        <v>-6.9000</v>
      </c>
      <c r="I445" s="17">
        <v>0</v>
      </c>
    </row>
    <row r="446" ht="10.95" customHeight="true" customFormat="true" s="9">
      <c r="A446" s="15">
        <v>46270</v>
      </c>
      <c r="B446" s="16" t="s">
        <v>14</v>
      </c>
      <c r="C446" s="16" t="s">
        <v>51</v>
      </c>
      <c r="D446" s="16" t="s">
        <v>52</v>
      </c>
      <c r="E446" s="17">
        <v>181.8200</v>
      </c>
      <c r="F446" s="17">
        <v>0</v>
      </c>
      <c r="G446" s="17">
        <f ca="1">((G445 + F446) - E446)</f>
        <v>0</v>
      </c>
      <c r="H446" s="17">
        <v>-181.8200</v>
      </c>
      <c r="I446" s="17">
        <v>0</v>
      </c>
    </row>
    <row r="447" ht="10.95" customHeight="true" customFormat="true" s="9">
      <c r="A447" s="15">
        <v>46272</v>
      </c>
      <c r="B447" s="16" t="s">
        <v>162</v>
      </c>
      <c r="C447" s="16" t="s">
        <v>177</v>
      </c>
      <c r="D447" s="16"/>
      <c r="E447" s="17">
        <v>1.4500</v>
      </c>
      <c r="F447" s="17">
        <v>0</v>
      </c>
      <c r="G447" s="17">
        <f ca="1">((G446 + F447) - E447)</f>
        <v>0</v>
      </c>
      <c r="H447" s="17">
        <v>-1.4500</v>
      </c>
      <c r="I447" s="17">
        <v>0</v>
      </c>
    </row>
    <row r="448" ht="10.95" customHeight="true" customFormat="true" s="9">
      <c r="A448" s="15">
        <v>46277</v>
      </c>
      <c r="B448" s="16" t="s">
        <v>162</v>
      </c>
      <c r="C448" s="16" t="s">
        <v>175</v>
      </c>
      <c r="D448" s="16"/>
      <c r="E448" s="17">
        <v>1.0200</v>
      </c>
      <c r="F448" s="17">
        <v>0</v>
      </c>
      <c r="G448" s="17">
        <f ca="1">((G447 + F448) - E448)</f>
        <v>0</v>
      </c>
      <c r="H448" s="17">
        <v>-1.0200</v>
      </c>
      <c r="I448" s="17">
        <v>0</v>
      </c>
    </row>
    <row r="449" ht="10.95" customHeight="true" customFormat="true" s="9">
      <c r="A449" s="15">
        <v>46278</v>
      </c>
      <c r="B449" s="16" t="s">
        <v>14</v>
      </c>
      <c r="C449" s="16" t="s">
        <v>37</v>
      </c>
      <c r="D449" s="16" t="s">
        <v>53</v>
      </c>
      <c r="E449" s="17">
        <v>20.0000</v>
      </c>
      <c r="F449" s="17">
        <v>0</v>
      </c>
      <c r="G449" s="17">
        <f ca="1">((G448 + F449) - E449)</f>
        <v>0</v>
      </c>
      <c r="H449" s="17">
        <v>-20.0000</v>
      </c>
      <c r="I449" s="17">
        <v>0</v>
      </c>
    </row>
    <row r="450" ht="10.95" customHeight="true" customFormat="true" s="9">
      <c r="A450" s="15">
        <v>46280</v>
      </c>
      <c r="B450" s="16" t="s">
        <v>98</v>
      </c>
      <c r="C450" s="16" t="s">
        <v>101</v>
      </c>
      <c r="D450" s="16" t="s">
        <v>131</v>
      </c>
      <c r="E450" s="17">
        <v>5.5000</v>
      </c>
      <c r="F450" s="17">
        <v>0</v>
      </c>
      <c r="G450" s="17">
        <f ca="1">((G449 + F450) - E450)</f>
        <v>0</v>
      </c>
      <c r="H450" s="17">
        <v>-5.5000</v>
      </c>
      <c r="I450" s="17">
        <v>0</v>
      </c>
    </row>
    <row r="451" ht="10.95" customHeight="true" customFormat="true" s="9">
      <c r="A451" s="15">
        <v>46281</v>
      </c>
      <c r="B451" s="16" t="s">
        <v>85</v>
      </c>
      <c r="C451" s="16" t="s">
        <v>132</v>
      </c>
      <c r="D451" s="16" t="s">
        <v>133</v>
      </c>
      <c r="E451" s="17">
        <v>0</v>
      </c>
      <c r="F451" s="17">
        <v>50.0000</v>
      </c>
      <c r="G451" s="17">
        <f ca="1">((G450 + F451) - E451)</f>
        <v>0</v>
      </c>
      <c r="H451" s="17">
        <v>50.0000</v>
      </c>
      <c r="I451" s="17">
        <v>0</v>
      </c>
    </row>
    <row r="452" ht="10.95" customHeight="true" customFormat="true" s="9">
      <c r="A452" s="15">
        <v>46281</v>
      </c>
      <c r="B452" s="16" t="s">
        <v>14</v>
      </c>
      <c r="C452" s="16" t="s">
        <v>37</v>
      </c>
      <c r="D452" s="16"/>
      <c r="E452" s="17">
        <v>15.5000</v>
      </c>
      <c r="F452" s="17">
        <v>0</v>
      </c>
      <c r="G452" s="17">
        <f ca="1">((G451 + F452) - E452)</f>
        <v>0</v>
      </c>
      <c r="H452" s="17">
        <v>-15.5000</v>
      </c>
      <c r="I452" s="17">
        <v>0</v>
      </c>
    </row>
    <row r="453" ht="10.95" customHeight="true" customFormat="true" s="9">
      <c r="A453" s="15">
        <v>46281</v>
      </c>
      <c r="B453" s="16" t="s">
        <v>14</v>
      </c>
      <c r="C453" s="16" t="s">
        <v>55</v>
      </c>
      <c r="D453" s="16"/>
      <c r="E453" s="17">
        <v>4.9000</v>
      </c>
      <c r="F453" s="17">
        <v>0</v>
      </c>
      <c r="G453" s="17">
        <f ca="1">((G452 + F453) - E453)</f>
        <v>0</v>
      </c>
      <c r="H453" s="17">
        <v>-4.9000</v>
      </c>
      <c r="I453" s="17">
        <v>0</v>
      </c>
    </row>
    <row r="454" ht="10.95" customHeight="true" customFormat="true" s="9">
      <c r="A454" s="15">
        <v>46282</v>
      </c>
      <c r="B454" s="16" t="s">
        <v>85</v>
      </c>
      <c r="C454" s="16" t="s">
        <v>93</v>
      </c>
      <c r="D454" s="16" t="s">
        <v>91</v>
      </c>
      <c r="E454" s="17">
        <v>0</v>
      </c>
      <c r="F454" s="17">
        <v>50.0000</v>
      </c>
      <c r="G454" s="17">
        <f ca="1">((G453 + F454) - E454)</f>
        <v>0</v>
      </c>
      <c r="H454" s="17">
        <v>50.0000</v>
      </c>
      <c r="I454" s="17">
        <v>0</v>
      </c>
    </row>
    <row r="455" ht="10.95" customHeight="true" customFormat="true" s="9">
      <c r="A455" s="15">
        <v>46282</v>
      </c>
      <c r="B455" s="16" t="s">
        <v>85</v>
      </c>
      <c r="C455" s="16" t="s">
        <v>15</v>
      </c>
      <c r="D455" s="16" t="s">
        <v>117</v>
      </c>
      <c r="E455" s="17">
        <v>0</v>
      </c>
      <c r="F455" s="17">
        <v>650.0000</v>
      </c>
      <c r="G455" s="17">
        <f ca="1">((G454 + F455) - E455)</f>
        <v>0</v>
      </c>
      <c r="H455" s="17">
        <v>650.0000</v>
      </c>
      <c r="I455" s="17">
        <v>0</v>
      </c>
    </row>
    <row r="456" ht="10.95" customHeight="true" customFormat="true" s="9">
      <c r="A456" s="15">
        <v>46282</v>
      </c>
      <c r="B456" s="16" t="s">
        <v>85</v>
      </c>
      <c r="C456" s="16" t="s">
        <v>90</v>
      </c>
      <c r="D456" s="16" t="s">
        <v>91</v>
      </c>
      <c r="E456" s="17">
        <v>0</v>
      </c>
      <c r="F456" s="17">
        <v>50.0000</v>
      </c>
      <c r="G456" s="17">
        <f ca="1">((G455 + F456) - E456)</f>
        <v>0</v>
      </c>
      <c r="H456" s="17">
        <v>50.0000</v>
      </c>
      <c r="I456" s="17">
        <v>0</v>
      </c>
    </row>
    <row r="457" ht="10.95" customHeight="true" customFormat="true" s="9">
      <c r="A457" s="15">
        <v>46282</v>
      </c>
      <c r="B457" s="16" t="s">
        <v>85</v>
      </c>
      <c r="C457" s="16" t="s">
        <v>92</v>
      </c>
      <c r="D457" s="16" t="s">
        <v>91</v>
      </c>
      <c r="E457" s="17">
        <v>0</v>
      </c>
      <c r="F457" s="17">
        <v>50.0000</v>
      </c>
      <c r="G457" s="17">
        <f ca="1">((G456 + F457) - E457)</f>
        <v>0</v>
      </c>
      <c r="H457" s="17">
        <v>50.0000</v>
      </c>
      <c r="I457" s="17">
        <v>0</v>
      </c>
    </row>
    <row r="458" ht="10.95" customHeight="true" customFormat="true" s="9">
      <c r="A458" s="15">
        <v>46282</v>
      </c>
      <c r="B458" s="16" t="s">
        <v>85</v>
      </c>
      <c r="C458" s="16" t="s">
        <v>95</v>
      </c>
      <c r="D458" s="16" t="s">
        <v>91</v>
      </c>
      <c r="E458" s="17">
        <v>0</v>
      </c>
      <c r="F458" s="17">
        <v>50.0000</v>
      </c>
      <c r="G458" s="17">
        <f ca="1">((G457 + F458) - E458)</f>
        <v>0</v>
      </c>
      <c r="H458" s="17">
        <v>50.0000</v>
      </c>
      <c r="I458" s="17">
        <v>0</v>
      </c>
    </row>
    <row r="459" ht="10.95" customHeight="true" customFormat="true" s="9">
      <c r="A459" s="15">
        <v>46283</v>
      </c>
      <c r="B459" s="16" t="s">
        <v>162</v>
      </c>
      <c r="C459" s="16" t="s">
        <v>210</v>
      </c>
      <c r="D459" s="16"/>
      <c r="E459" s="17">
        <v>1.0900</v>
      </c>
      <c r="F459" s="17">
        <v>0</v>
      </c>
      <c r="G459" s="17">
        <f ca="1">((G458 + F459) - E459)</f>
        <v>0</v>
      </c>
      <c r="H459" s="17">
        <v>-1.0900</v>
      </c>
      <c r="I459" s="17">
        <v>0</v>
      </c>
    </row>
    <row r="460" ht="10.95" customHeight="true" customFormat="true" s="9">
      <c r="A460" s="15">
        <v>46284</v>
      </c>
      <c r="B460" s="16" t="s">
        <v>162</v>
      </c>
      <c r="C460" s="16" t="s">
        <v>210</v>
      </c>
      <c r="D460" s="16"/>
      <c r="E460" s="17">
        <v>1.0900</v>
      </c>
      <c r="F460" s="17">
        <v>0</v>
      </c>
      <c r="G460" s="17">
        <f ca="1">((G459 + F460) - E460)</f>
        <v>0</v>
      </c>
      <c r="H460" s="17">
        <v>-1.0900</v>
      </c>
      <c r="I460" s="17">
        <v>0</v>
      </c>
    </row>
    <row r="461" ht="10.95" customHeight="true" customFormat="true" s="9">
      <c r="A461" s="15">
        <v>46285</v>
      </c>
      <c r="B461" s="16" t="s">
        <v>14</v>
      </c>
      <c r="C461" s="16" t="s">
        <v>37</v>
      </c>
      <c r="D461" s="16" t="s">
        <v>57</v>
      </c>
      <c r="E461" s="17">
        <v>20.0000</v>
      </c>
      <c r="F461" s="17">
        <v>0</v>
      </c>
      <c r="G461" s="17">
        <f ca="1">((G460 + F461) - E461)</f>
        <v>0</v>
      </c>
      <c r="H461" s="17">
        <v>-20.0000</v>
      </c>
      <c r="I461" s="17">
        <v>0</v>
      </c>
    </row>
    <row r="462" ht="10.95" customHeight="true" customFormat="true" s="9">
      <c r="A462" s="15">
        <v>46285</v>
      </c>
      <c r="B462" s="16" t="s">
        <v>162</v>
      </c>
      <c r="C462" s="16" t="s">
        <v>210</v>
      </c>
      <c r="D462" s="16"/>
      <c r="E462" s="17">
        <v>1.0900</v>
      </c>
      <c r="F462" s="17">
        <v>0</v>
      </c>
      <c r="G462" s="17">
        <f ca="1">((G461 + F462) - E462)</f>
        <v>0</v>
      </c>
      <c r="H462" s="17">
        <v>-1.0900</v>
      </c>
      <c r="I462" s="17">
        <v>0</v>
      </c>
    </row>
    <row r="463" ht="10.95" customHeight="true" customFormat="true" s="9">
      <c r="A463" s="15">
        <v>46286</v>
      </c>
      <c r="B463" s="16" t="s">
        <v>162</v>
      </c>
      <c r="C463" s="16" t="s">
        <v>176</v>
      </c>
      <c r="D463" s="16"/>
      <c r="E463" s="17">
        <v>150.0000</v>
      </c>
      <c r="F463" s="17">
        <v>0</v>
      </c>
      <c r="G463" s="17">
        <f ca="1">((G462 + F463) - E463)</f>
        <v>0</v>
      </c>
      <c r="H463" s="17">
        <v>-150.0000</v>
      </c>
      <c r="I463" s="17">
        <v>0</v>
      </c>
    </row>
    <row r="464" ht="10.95" customHeight="true" customFormat="true" s="9">
      <c r="A464" s="15">
        <v>46286</v>
      </c>
      <c r="B464" s="16" t="s">
        <v>162</v>
      </c>
      <c r="C464" s="16" t="s">
        <v>210</v>
      </c>
      <c r="D464" s="16"/>
      <c r="E464" s="17">
        <v>1.0900</v>
      </c>
      <c r="F464" s="17">
        <v>0</v>
      </c>
      <c r="G464" s="17">
        <f ca="1">((G463 + F464) - E464)</f>
        <v>0</v>
      </c>
      <c r="H464" s="17">
        <v>-1.0900</v>
      </c>
      <c r="I464" s="17">
        <v>0</v>
      </c>
    </row>
    <row r="465" ht="10.95" customHeight="true" customFormat="true" s="9">
      <c r="A465" s="15">
        <v>46288</v>
      </c>
      <c r="B465" s="16" t="s">
        <v>162</v>
      </c>
      <c r="C465" s="16" t="s">
        <v>189</v>
      </c>
      <c r="D465" s="16"/>
      <c r="E465" s="17">
        <v>5.9100</v>
      </c>
      <c r="F465" s="17">
        <v>0</v>
      </c>
      <c r="G465" s="17">
        <f ca="1">((G464 + F465) - E465)</f>
        <v>0</v>
      </c>
      <c r="H465" s="17">
        <v>-5.9100</v>
      </c>
      <c r="I465" s="17">
        <v>0</v>
      </c>
    </row>
    <row r="466" ht="10.95" customHeight="true" customFormat="true" s="9">
      <c r="A466" s="15">
        <v>46288</v>
      </c>
      <c r="B466" s="16" t="s">
        <v>162</v>
      </c>
      <c r="C466" s="16" t="s">
        <v>210</v>
      </c>
      <c r="D466" s="16"/>
      <c r="E466" s="17">
        <v>1.0900</v>
      </c>
      <c r="F466" s="17">
        <v>0</v>
      </c>
      <c r="G466" s="17">
        <f ca="1">((G465 + F466) - E466)</f>
        <v>0</v>
      </c>
      <c r="H466" s="17">
        <v>-1.0900</v>
      </c>
      <c r="I466" s="17">
        <v>0</v>
      </c>
    </row>
    <row r="467" ht="10.95" customHeight="true" customFormat="true" s="9">
      <c r="A467" s="15">
        <v>46289</v>
      </c>
      <c r="B467" s="16" t="s">
        <v>162</v>
      </c>
      <c r="C467" s="16" t="s">
        <v>210</v>
      </c>
      <c r="D467" s="16"/>
      <c r="E467" s="17">
        <v>1.0900</v>
      </c>
      <c r="F467" s="17">
        <v>0</v>
      </c>
      <c r="G467" s="17">
        <f ca="1">((G466 + F467) - E467)</f>
        <v>0</v>
      </c>
      <c r="H467" s="17">
        <v>-1.0900</v>
      </c>
      <c r="I467" s="17">
        <v>0</v>
      </c>
    </row>
    <row r="468" ht="10.95" customHeight="true" customFormat="true" s="9">
      <c r="A468" s="15">
        <v>46290</v>
      </c>
      <c r="B468" s="16" t="s">
        <v>162</v>
      </c>
      <c r="C468" s="16" t="s">
        <v>210</v>
      </c>
      <c r="D468" s="16"/>
      <c r="E468" s="17">
        <v>1.0900</v>
      </c>
      <c r="F468" s="17">
        <v>0</v>
      </c>
      <c r="G468" s="17">
        <f ca="1">((G467 + F468) - E468)</f>
        <v>0</v>
      </c>
      <c r="H468" s="17">
        <v>-1.0900</v>
      </c>
      <c r="I468" s="17">
        <v>0</v>
      </c>
    </row>
    <row r="469" ht="10.95" customHeight="true" customFormat="true" s="9">
      <c r="A469" s="15">
        <v>46291</v>
      </c>
      <c r="B469" s="16" t="s">
        <v>162</v>
      </c>
      <c r="C469" s="16" t="s">
        <v>210</v>
      </c>
      <c r="D469" s="16"/>
      <c r="E469" s="17">
        <v>1.0900</v>
      </c>
      <c r="F469" s="17">
        <v>0</v>
      </c>
      <c r="G469" s="17">
        <f ca="1">((G468 + F469) - E469)</f>
        <v>0</v>
      </c>
      <c r="H469" s="17">
        <v>-1.0900</v>
      </c>
      <c r="I469" s="17">
        <v>0</v>
      </c>
    </row>
    <row r="470" ht="10.95" customHeight="true" customFormat="true" s="9">
      <c r="A470" s="15">
        <v>46292</v>
      </c>
      <c r="B470" s="16" t="s">
        <v>14</v>
      </c>
      <c r="C470" s="16" t="s">
        <v>37</v>
      </c>
      <c r="D470" s="16" t="s">
        <v>58</v>
      </c>
      <c r="E470" s="17">
        <v>20.0000</v>
      </c>
      <c r="F470" s="17">
        <v>0</v>
      </c>
      <c r="G470" s="17">
        <f ca="1">((G469 + F470) - E470)</f>
        <v>0</v>
      </c>
      <c r="H470" s="17">
        <v>-20.0000</v>
      </c>
      <c r="I470" s="17">
        <v>0</v>
      </c>
    </row>
    <row r="471" ht="10.95" customHeight="true" customFormat="true" s="9">
      <c r="A471" s="15">
        <v>46292</v>
      </c>
      <c r="B471" s="16" t="s">
        <v>162</v>
      </c>
      <c r="C471" s="16" t="s">
        <v>210</v>
      </c>
      <c r="D471" s="16"/>
      <c r="E471" s="17">
        <v>1.0900</v>
      </c>
      <c r="F471" s="17">
        <v>0</v>
      </c>
      <c r="G471" s="17">
        <f ca="1">((G470 + F471) - E471)</f>
        <v>0</v>
      </c>
      <c r="H471" s="17">
        <v>-1.0900</v>
      </c>
      <c r="I471" s="17">
        <v>0</v>
      </c>
    </row>
    <row r="472" ht="10.95" customHeight="true" customFormat="true" s="9">
      <c r="A472" s="15">
        <v>46294</v>
      </c>
      <c r="B472" s="16" t="s">
        <v>162</v>
      </c>
      <c r="C472" s="16" t="s">
        <v>210</v>
      </c>
      <c r="D472" s="16"/>
      <c r="E472" s="17">
        <v>1.0900</v>
      </c>
      <c r="F472" s="17">
        <v>0</v>
      </c>
      <c r="G472" s="17">
        <f ca="1">((G471 + F472) - E472)</f>
        <v>0</v>
      </c>
      <c r="H472" s="17">
        <v>-1.0900</v>
      </c>
      <c r="I472" s="17">
        <v>0</v>
      </c>
    </row>
    <row r="473" ht="10.95" customHeight="true" customFormat="true" s="9">
      <c r="A473" s="15">
        <v>46295</v>
      </c>
      <c r="B473" s="16" t="s">
        <v>14</v>
      </c>
      <c r="C473" s="16" t="s">
        <v>25</v>
      </c>
      <c r="D473" s="16" t="s">
        <v>60</v>
      </c>
      <c r="E473" s="17">
        <v>30.1000</v>
      </c>
      <c r="F473" s="17">
        <v>0</v>
      </c>
      <c r="G473" s="17">
        <f ca="1">((G472 + F473) - E473)</f>
        <v>0</v>
      </c>
      <c r="H473" s="17">
        <v>-30.1000</v>
      </c>
      <c r="I473" s="17">
        <v>0</v>
      </c>
    </row>
    <row r="474" ht="10.95" customHeight="true" customFormat="true" s="9">
      <c r="A474" s="15">
        <v>46296</v>
      </c>
      <c r="B474" s="16" t="s">
        <v>85</v>
      </c>
      <c r="C474" s="16" t="s">
        <v>15</v>
      </c>
      <c r="D474" s="16" t="s">
        <v>117</v>
      </c>
      <c r="E474" s="17">
        <v>0</v>
      </c>
      <c r="F474" s="17">
        <v>350.0000</v>
      </c>
      <c r="G474" s="17">
        <f ca="1">((G473 + F474) - E474)</f>
        <v>0</v>
      </c>
      <c r="H474" s="17">
        <v>350.0000</v>
      </c>
      <c r="I474" s="17">
        <v>0</v>
      </c>
    </row>
    <row r="475" ht="10.95" customHeight="true" customFormat="true" s="9">
      <c r="A475" s="15">
        <v>46296</v>
      </c>
      <c r="B475" s="16" t="s">
        <v>14</v>
      </c>
      <c r="C475" s="16" t="s">
        <v>61</v>
      </c>
      <c r="D475" s="16" t="s">
        <v>62</v>
      </c>
      <c r="E475" s="17">
        <v>107.3900</v>
      </c>
      <c r="F475" s="17">
        <v>0</v>
      </c>
      <c r="G475" s="17">
        <f ca="1">((G474 + F475) - E475)</f>
        <v>0</v>
      </c>
      <c r="H475" s="17">
        <v>-107.3900</v>
      </c>
      <c r="I475" s="17">
        <v>0</v>
      </c>
    </row>
    <row r="476" ht="10.95" customHeight="true" customFormat="true" s="9">
      <c r="A476" s="15">
        <v>46296</v>
      </c>
      <c r="B476" s="16" t="s">
        <v>162</v>
      </c>
      <c r="C476" s="16" t="s">
        <v>214</v>
      </c>
      <c r="D476" s="16"/>
      <c r="E476" s="17">
        <v>1.9900</v>
      </c>
      <c r="F476" s="17">
        <v>0</v>
      </c>
      <c r="G476" s="17">
        <f ca="1">((G475 + F476) - E476)</f>
        <v>0</v>
      </c>
      <c r="H476" s="17">
        <v>-1.9900</v>
      </c>
      <c r="I476" s="17">
        <v>0</v>
      </c>
    </row>
    <row r="477" ht="10.95" customHeight="true" customFormat="true" s="9">
      <c r="A477" s="15">
        <v>46296</v>
      </c>
      <c r="B477" s="16" t="s">
        <v>85</v>
      </c>
      <c r="C477" s="16" t="s">
        <v>96</v>
      </c>
      <c r="D477" s="16" t="s">
        <v>137</v>
      </c>
      <c r="E477" s="17">
        <v>0</v>
      </c>
      <c r="F477" s="17">
        <v>30.0000</v>
      </c>
      <c r="G477" s="17">
        <f ca="1">((G476 + F477) - E477)</f>
        <v>0</v>
      </c>
      <c r="H477" s="17">
        <v>30.0000</v>
      </c>
      <c r="I477" s="17">
        <v>0</v>
      </c>
    </row>
    <row r="478" ht="10.95" customHeight="true" customFormat="true" s="9">
      <c r="A478" s="15">
        <v>46296</v>
      </c>
      <c r="B478" s="16" t="s">
        <v>85</v>
      </c>
      <c r="C478" s="16" t="s">
        <v>138</v>
      </c>
      <c r="D478" s="16" t="s">
        <v>139</v>
      </c>
      <c r="E478" s="17">
        <v>0</v>
      </c>
      <c r="F478" s="17">
        <v>9.6000</v>
      </c>
      <c r="G478" s="17">
        <f ca="1">((G477 + F478) - E478)</f>
        <v>0</v>
      </c>
      <c r="H478" s="17">
        <v>9.6000</v>
      </c>
      <c r="I478" s="17">
        <v>0</v>
      </c>
    </row>
    <row r="479" ht="10.95" customHeight="true" customFormat="true" s="9">
      <c r="A479" s="15">
        <v>46296</v>
      </c>
      <c r="B479" s="16" t="s">
        <v>162</v>
      </c>
      <c r="C479" s="16" t="s">
        <v>210</v>
      </c>
      <c r="D479" s="16"/>
      <c r="E479" s="17">
        <v>1.0900</v>
      </c>
      <c r="F479" s="17">
        <v>0</v>
      </c>
      <c r="G479" s="17">
        <f ca="1">((G478 + F479) - E479)</f>
        <v>0</v>
      </c>
      <c r="H479" s="17">
        <v>-1.0900</v>
      </c>
      <c r="I479" s="17">
        <v>0</v>
      </c>
    </row>
    <row r="480" ht="10.95" customHeight="true" customFormat="true" s="9">
      <c r="A480" s="15">
        <v>46296</v>
      </c>
      <c r="B480" s="16" t="s">
        <v>162</v>
      </c>
      <c r="C480" s="16" t="s">
        <v>215</v>
      </c>
      <c r="D480" s="16"/>
      <c r="E480" s="17">
        <v>0.5500</v>
      </c>
      <c r="F480" s="17">
        <v>0</v>
      </c>
      <c r="G480" s="17">
        <f ca="1">((G479 + F480) - E480)</f>
        <v>0</v>
      </c>
      <c r="H480" s="17">
        <v>-0.5500</v>
      </c>
      <c r="I480" s="17">
        <v>0</v>
      </c>
    </row>
    <row r="481" ht="10.95" customHeight="true" customFormat="true" s="9">
      <c r="A481" s="15">
        <v>46296</v>
      </c>
      <c r="B481" s="16" t="s">
        <v>162</v>
      </c>
      <c r="C481" s="16" t="s">
        <v>216</v>
      </c>
      <c r="D481" s="16"/>
      <c r="E481" s="17">
        <v>4.5400</v>
      </c>
      <c r="F481" s="17">
        <v>0</v>
      </c>
      <c r="G481" s="17">
        <f ca="1">((G480 + F481) - E481)</f>
        <v>0</v>
      </c>
      <c r="H481" s="17">
        <v>-4.5400</v>
      </c>
      <c r="I481" s="17">
        <v>0</v>
      </c>
    </row>
    <row r="482" ht="10.95" customHeight="true" customFormat="true" s="9">
      <c r="A482" s="15">
        <v>46299</v>
      </c>
      <c r="B482" s="16" t="s">
        <v>14</v>
      </c>
      <c r="C482" s="16" t="s">
        <v>29</v>
      </c>
      <c r="D482" s="16" t="s">
        <v>63</v>
      </c>
      <c r="E482" s="17">
        <v>4.9200</v>
      </c>
      <c r="F482" s="17">
        <v>0</v>
      </c>
      <c r="G482" s="17">
        <f ca="1">((G481 + F482) - E482)</f>
        <v>0</v>
      </c>
      <c r="H482" s="17">
        <v>-4.9200</v>
      </c>
      <c r="I482" s="17">
        <v>0</v>
      </c>
    </row>
    <row r="483" ht="10.95" customHeight="true" customFormat="true" s="9">
      <c r="A483" s="15">
        <v>46299</v>
      </c>
      <c r="B483" s="16" t="s">
        <v>14</v>
      </c>
      <c r="C483" s="16" t="s">
        <v>64</v>
      </c>
      <c r="D483" s="16" t="s">
        <v>65</v>
      </c>
      <c r="E483" s="17">
        <v>630.0000</v>
      </c>
      <c r="F483" s="17">
        <v>0</v>
      </c>
      <c r="G483" s="17">
        <f ca="1">((G482 + F483) - E483)</f>
        <v>0</v>
      </c>
      <c r="H483" s="17">
        <v>-630.0000</v>
      </c>
      <c r="I483" s="17">
        <v>0</v>
      </c>
    </row>
    <row r="484" ht="10.95" customHeight="true" customFormat="true" s="9">
      <c r="A484" s="15">
        <v>46299</v>
      </c>
      <c r="B484" s="16" t="s">
        <v>14</v>
      </c>
      <c r="C484" s="16" t="s">
        <v>37</v>
      </c>
      <c r="D484" s="16" t="s">
        <v>66</v>
      </c>
      <c r="E484" s="17">
        <v>20.0000</v>
      </c>
      <c r="F484" s="17">
        <v>0</v>
      </c>
      <c r="G484" s="17">
        <f ca="1">((G483 + F484) - E484)</f>
        <v>0</v>
      </c>
      <c r="H484" s="17">
        <v>-20.0000</v>
      </c>
      <c r="I484" s="17">
        <v>0</v>
      </c>
    </row>
    <row r="485" ht="10.95" customHeight="true" customFormat="true" s="9">
      <c r="A485" s="15">
        <v>46300</v>
      </c>
      <c r="B485" s="16" t="s">
        <v>14</v>
      </c>
      <c r="C485" s="16" t="s">
        <v>25</v>
      </c>
      <c r="D485" s="16" t="s">
        <v>67</v>
      </c>
      <c r="E485" s="17">
        <v>9.8700</v>
      </c>
      <c r="F485" s="17">
        <v>0</v>
      </c>
      <c r="G485" s="17">
        <f ca="1">((G484 + F485) - E485)</f>
        <v>0</v>
      </c>
      <c r="H485" s="17">
        <v>-9.8700</v>
      </c>
      <c r="I485" s="17">
        <v>0</v>
      </c>
    </row>
    <row r="486" ht="10.95" customHeight="true" customFormat="true" s="9">
      <c r="A486" s="15">
        <v>46300</v>
      </c>
      <c r="B486" s="16" t="s">
        <v>162</v>
      </c>
      <c r="C486" s="16" t="s">
        <v>210</v>
      </c>
      <c r="D486" s="16"/>
      <c r="E486" s="17">
        <v>1.0900</v>
      </c>
      <c r="F486" s="17">
        <v>0</v>
      </c>
      <c r="G486" s="17">
        <f ca="1">((G485 + F486) - E486)</f>
        <v>0</v>
      </c>
      <c r="H486" s="17">
        <v>-1.0900</v>
      </c>
      <c r="I486" s="17">
        <v>0</v>
      </c>
    </row>
    <row r="487" ht="10.95" customHeight="true" customFormat="true" s="9">
      <c r="A487" s="15">
        <v>46300</v>
      </c>
      <c r="B487" s="16" t="s">
        <v>162</v>
      </c>
      <c r="C487" s="16" t="s">
        <v>215</v>
      </c>
      <c r="D487" s="16"/>
      <c r="E487" s="17">
        <v>1.1400</v>
      </c>
      <c r="F487" s="17">
        <v>0</v>
      </c>
      <c r="G487" s="17">
        <f ca="1">((G486 + F487) - E487)</f>
        <v>0</v>
      </c>
      <c r="H487" s="17">
        <v>-1.1400</v>
      </c>
      <c r="I487" s="17">
        <v>0</v>
      </c>
    </row>
    <row r="488" ht="10.95" customHeight="true" customFormat="true" s="9">
      <c r="A488" s="15">
        <v>46301</v>
      </c>
      <c r="B488" s="16" t="s">
        <v>14</v>
      </c>
      <c r="C488" s="16" t="s">
        <v>33</v>
      </c>
      <c r="D488" s="16"/>
      <c r="E488" s="17">
        <v>6.9000</v>
      </c>
      <c r="F488" s="17">
        <v>0</v>
      </c>
      <c r="G488" s="17">
        <f ca="1">((G487 + F488) - E488)</f>
        <v>0</v>
      </c>
      <c r="H488" s="17">
        <v>-6.9000</v>
      </c>
      <c r="I488" s="17">
        <v>0</v>
      </c>
    </row>
    <row r="489" ht="10.95" customHeight="true" customFormat="true" s="9">
      <c r="A489" s="15">
        <v>46301</v>
      </c>
      <c r="B489" s="16" t="s">
        <v>14</v>
      </c>
      <c r="C489" s="16" t="s">
        <v>51</v>
      </c>
      <c r="D489" s="16" t="s">
        <v>68</v>
      </c>
      <c r="E489" s="17">
        <v>227.2700</v>
      </c>
      <c r="F489" s="17">
        <v>0</v>
      </c>
      <c r="G489" s="17">
        <f ca="1">((G488 + F489) - E489)</f>
        <v>0</v>
      </c>
      <c r="H489" s="17">
        <v>-227.2700</v>
      </c>
      <c r="I489" s="17">
        <v>0</v>
      </c>
    </row>
    <row r="490" ht="10.95" customHeight="true" customFormat="true" s="9">
      <c r="A490" s="15">
        <v>46301</v>
      </c>
      <c r="B490" s="16" t="s">
        <v>162</v>
      </c>
      <c r="C490" s="16" t="s">
        <v>177</v>
      </c>
      <c r="D490" s="16"/>
      <c r="E490" s="17">
        <v>1.5700</v>
      </c>
      <c r="F490" s="17">
        <v>0</v>
      </c>
      <c r="G490" s="17">
        <f ca="1">((G489 + F490) - E490)</f>
        <v>0</v>
      </c>
      <c r="H490" s="17">
        <v>-1.5700</v>
      </c>
      <c r="I490" s="17">
        <v>0</v>
      </c>
    </row>
    <row r="491" ht="10.95" customHeight="true" customFormat="true" s="9">
      <c r="A491" s="15">
        <v>46301</v>
      </c>
      <c r="B491" s="16" t="s">
        <v>85</v>
      </c>
      <c r="C491" s="16" t="s">
        <v>140</v>
      </c>
      <c r="D491" s="16" t="s">
        <v>141</v>
      </c>
      <c r="E491" s="17">
        <v>0</v>
      </c>
      <c r="F491" s="17">
        <v>280.0000</v>
      </c>
      <c r="G491" s="17">
        <f ca="1">((G490 + F491) - E491)</f>
        <v>0</v>
      </c>
      <c r="H491" s="17">
        <v>280.0000</v>
      </c>
      <c r="I491" s="17">
        <v>0</v>
      </c>
    </row>
    <row r="492" ht="10.95" customHeight="true" customFormat="true" s="9">
      <c r="A492" s="15">
        <v>46301</v>
      </c>
      <c r="B492" s="16" t="s">
        <v>85</v>
      </c>
      <c r="C492" s="16" t="s">
        <v>142</v>
      </c>
      <c r="D492" s="16" t="s">
        <v>143</v>
      </c>
      <c r="E492" s="17">
        <v>0</v>
      </c>
      <c r="F492" s="17">
        <v>562.5000</v>
      </c>
      <c r="G492" s="17">
        <f ca="1">((G491 + F492) - E492)</f>
        <v>0</v>
      </c>
      <c r="H492" s="17">
        <v>562.5000</v>
      </c>
      <c r="I492" s="17">
        <v>0</v>
      </c>
    </row>
    <row r="493" ht="10.95" customHeight="true" customFormat="true" s="9">
      <c r="A493" s="15">
        <v>46301</v>
      </c>
      <c r="B493" s="16" t="s">
        <v>85</v>
      </c>
      <c r="C493" s="16" t="s">
        <v>144</v>
      </c>
      <c r="D493" s="16" t="s">
        <v>145</v>
      </c>
      <c r="E493" s="17">
        <v>0</v>
      </c>
      <c r="F493" s="17">
        <v>50.0000</v>
      </c>
      <c r="G493" s="17">
        <f ca="1">((G492 + F493) - E493)</f>
        <v>0</v>
      </c>
      <c r="H493" s="17">
        <v>50.0000</v>
      </c>
      <c r="I493" s="17">
        <v>0</v>
      </c>
    </row>
    <row r="494" ht="10.95" customHeight="true" customFormat="true" s="9">
      <c r="A494" s="15">
        <v>46301</v>
      </c>
      <c r="B494" s="16" t="s">
        <v>162</v>
      </c>
      <c r="C494" s="16" t="s">
        <v>210</v>
      </c>
      <c r="D494" s="16"/>
      <c r="E494" s="17">
        <v>1.0900</v>
      </c>
      <c r="F494" s="17">
        <v>0</v>
      </c>
      <c r="G494" s="17">
        <f ca="1">((G493 + F494) - E494)</f>
        <v>0</v>
      </c>
      <c r="H494" s="17">
        <v>-1.0900</v>
      </c>
      <c r="I494" s="17">
        <v>0</v>
      </c>
    </row>
    <row r="495" ht="10.95" customHeight="true" customFormat="true" s="9">
      <c r="A495" s="15">
        <v>46301</v>
      </c>
      <c r="B495" s="16" t="s">
        <v>162</v>
      </c>
      <c r="C495" s="16" t="s">
        <v>215</v>
      </c>
      <c r="D495" s="16"/>
      <c r="E495" s="17">
        <v>0.5000</v>
      </c>
      <c r="F495" s="17">
        <v>0</v>
      </c>
      <c r="G495" s="17">
        <f ca="1">((G494 + F495) - E495)</f>
        <v>0</v>
      </c>
      <c r="H495" s="17">
        <v>-0.5000</v>
      </c>
      <c r="I495" s="17">
        <v>0</v>
      </c>
    </row>
    <row r="496" ht="10.95" customHeight="true" customFormat="true" s="9">
      <c r="A496" s="15">
        <v>46303</v>
      </c>
      <c r="B496" s="16" t="s">
        <v>162</v>
      </c>
      <c r="C496" s="16" t="s">
        <v>219</v>
      </c>
      <c r="D496" s="16"/>
      <c r="E496" s="17">
        <v>4.5300</v>
      </c>
      <c r="F496" s="17">
        <v>0</v>
      </c>
      <c r="G496" s="17">
        <f ca="1">((G495 + F496) - E496)</f>
        <v>0</v>
      </c>
      <c r="H496" s="17">
        <v>-4.5300</v>
      </c>
      <c r="I496" s="17">
        <v>0</v>
      </c>
    </row>
    <row r="497" ht="10.95" customHeight="true" customFormat="true" s="9">
      <c r="A497" s="15">
        <v>46304</v>
      </c>
      <c r="B497" s="16" t="s">
        <v>85</v>
      </c>
      <c r="C497" s="16" t="s">
        <v>111</v>
      </c>
      <c r="D497" s="16" t="s">
        <v>146</v>
      </c>
      <c r="E497" s="17">
        <v>0</v>
      </c>
      <c r="F497" s="17">
        <v>207.0000</v>
      </c>
      <c r="G497" s="17">
        <f ca="1">((G496 + F497) - E497)</f>
        <v>0</v>
      </c>
      <c r="H497" s="17">
        <v>207.0000</v>
      </c>
      <c r="I497" s="17">
        <v>0</v>
      </c>
    </row>
    <row r="498" ht="10.95" customHeight="true" customFormat="true" s="9">
      <c r="A498" s="15">
        <v>46304</v>
      </c>
      <c r="B498" s="16" t="s">
        <v>85</v>
      </c>
      <c r="C498" s="16" t="s">
        <v>144</v>
      </c>
      <c r="D498" s="16" t="s">
        <v>146</v>
      </c>
      <c r="E498" s="17">
        <v>0</v>
      </c>
      <c r="F498" s="17">
        <v>360.0000</v>
      </c>
      <c r="G498" s="17">
        <f ca="1">((G497 + F498) - E498)</f>
        <v>0</v>
      </c>
      <c r="H498" s="17">
        <v>360.0000</v>
      </c>
      <c r="I498" s="17">
        <v>0</v>
      </c>
    </row>
    <row r="499" ht="10.95" customHeight="true" customFormat="true" s="9">
      <c r="A499" s="15">
        <v>46304</v>
      </c>
      <c r="B499" s="16" t="s">
        <v>162</v>
      </c>
      <c r="C499" s="16" t="s">
        <v>210</v>
      </c>
      <c r="D499" s="16"/>
      <c r="E499" s="17">
        <v>1.0900</v>
      </c>
      <c r="F499" s="17">
        <v>0</v>
      </c>
      <c r="G499" s="17">
        <f ca="1">((G498 + F499) - E499)</f>
        <v>0</v>
      </c>
      <c r="H499" s="17">
        <v>-1.0900</v>
      </c>
      <c r="I499" s="17">
        <v>0</v>
      </c>
    </row>
    <row r="500" ht="10.95" customHeight="true" customFormat="true" s="9">
      <c r="A500" s="15">
        <v>46304</v>
      </c>
      <c r="B500" s="16" t="s">
        <v>162</v>
      </c>
      <c r="C500" s="16" t="s">
        <v>215</v>
      </c>
      <c r="D500" s="16"/>
      <c r="E500" s="17">
        <v>0.3600</v>
      </c>
      <c r="F500" s="17">
        <v>0</v>
      </c>
      <c r="G500" s="17">
        <f ca="1">((G499 + F500) - E500)</f>
        <v>0</v>
      </c>
      <c r="H500" s="17">
        <v>-0.3600</v>
      </c>
      <c r="I500" s="17">
        <v>0</v>
      </c>
    </row>
    <row r="501" ht="10.95" customHeight="true" customFormat="true" s="9">
      <c r="A501" s="15">
        <v>46306</v>
      </c>
      <c r="B501" s="16" t="s">
        <v>14</v>
      </c>
      <c r="C501" s="16" t="s">
        <v>69</v>
      </c>
      <c r="D501" s="16"/>
      <c r="E501" s="17">
        <v>11.8200</v>
      </c>
      <c r="F501" s="17">
        <v>0</v>
      </c>
      <c r="G501" s="17">
        <f ca="1">((G500 + F501) - E501)</f>
        <v>0</v>
      </c>
      <c r="H501" s="17">
        <v>-11.8200</v>
      </c>
      <c r="I501" s="17">
        <v>0</v>
      </c>
    </row>
    <row r="502" ht="10.95" customHeight="true" customFormat="true" s="9">
      <c r="A502" s="15">
        <v>46306</v>
      </c>
      <c r="B502" s="16" t="s">
        <v>14</v>
      </c>
      <c r="C502" s="16" t="s">
        <v>37</v>
      </c>
      <c r="D502" s="16"/>
      <c r="E502" s="17">
        <v>15.5000</v>
      </c>
      <c r="F502" s="17">
        <v>0</v>
      </c>
      <c r="G502" s="17">
        <f ca="1">((G501 + F502) - E502)</f>
        <v>0</v>
      </c>
      <c r="H502" s="17">
        <v>-15.5000</v>
      </c>
      <c r="I502" s="17">
        <v>0</v>
      </c>
    </row>
    <row r="503" ht="10.95" customHeight="true" customFormat="true" s="9">
      <c r="A503" s="15">
        <v>46306</v>
      </c>
      <c r="B503" s="16" t="s">
        <v>14</v>
      </c>
      <c r="C503" s="16" t="s">
        <v>24</v>
      </c>
      <c r="D503" s="16"/>
      <c r="E503" s="17">
        <v>197.0000</v>
      </c>
      <c r="F503" s="17">
        <v>0</v>
      </c>
      <c r="G503" s="17">
        <f ca="1">((G502 + F503) - E503)</f>
        <v>0</v>
      </c>
      <c r="H503" s="17">
        <v>-197.0000</v>
      </c>
      <c r="I503" s="17">
        <v>0</v>
      </c>
    </row>
    <row r="504" ht="10.95" customHeight="true" customFormat="true" s="9">
      <c r="A504" s="15">
        <v>46306</v>
      </c>
      <c r="B504" s="16" t="s">
        <v>14</v>
      </c>
      <c r="C504" s="16" t="s">
        <v>37</v>
      </c>
      <c r="D504" s="16" t="s">
        <v>71</v>
      </c>
      <c r="E504" s="17">
        <v>20.0000</v>
      </c>
      <c r="F504" s="17">
        <v>0</v>
      </c>
      <c r="G504" s="17">
        <f ca="1">((G503 + F504) - E504)</f>
        <v>0</v>
      </c>
      <c r="H504" s="17">
        <v>-20.0000</v>
      </c>
      <c r="I504" s="17">
        <v>0</v>
      </c>
    </row>
    <row r="505" ht="10.95" customHeight="true" customFormat="true" s="9">
      <c r="A505" s="15">
        <v>46307</v>
      </c>
      <c r="B505" s="16" t="s">
        <v>14</v>
      </c>
      <c r="C505" s="16" t="s">
        <v>73</v>
      </c>
      <c r="D505" s="16"/>
      <c r="E505" s="17">
        <v>37.4000</v>
      </c>
      <c r="F505" s="17">
        <v>0</v>
      </c>
      <c r="G505" s="17">
        <f ca="1">((G504 + F505) - E505)</f>
        <v>0</v>
      </c>
      <c r="H505" s="17">
        <v>-37.4000</v>
      </c>
      <c r="I505" s="17">
        <v>0</v>
      </c>
    </row>
    <row r="506" ht="10.95" customHeight="true" customFormat="true" s="9">
      <c r="A506" s="15">
        <v>46307</v>
      </c>
      <c r="B506" s="16" t="s">
        <v>85</v>
      </c>
      <c r="C506" s="16" t="s">
        <v>69</v>
      </c>
      <c r="D506" s="16" t="s">
        <v>148</v>
      </c>
      <c r="E506" s="17">
        <v>0</v>
      </c>
      <c r="F506" s="17">
        <v>290.9100</v>
      </c>
      <c r="G506" s="17">
        <f ca="1">((G505 + F506) - E506)</f>
        <v>0</v>
      </c>
      <c r="H506" s="17">
        <v>290.9100</v>
      </c>
      <c r="I506" s="17">
        <v>0</v>
      </c>
    </row>
    <row r="507" ht="10.95" customHeight="true" customFormat="true" s="9">
      <c r="A507" s="15">
        <v>46307</v>
      </c>
      <c r="B507" s="16" t="s">
        <v>162</v>
      </c>
      <c r="C507" s="16" t="s">
        <v>210</v>
      </c>
      <c r="D507" s="16"/>
      <c r="E507" s="17">
        <v>1.0900</v>
      </c>
      <c r="F507" s="17">
        <v>0</v>
      </c>
      <c r="G507" s="17">
        <f ca="1">((G506 + F507) - E507)</f>
        <v>0</v>
      </c>
      <c r="H507" s="17">
        <v>-1.0900</v>
      </c>
      <c r="I507" s="17">
        <v>0</v>
      </c>
    </row>
    <row r="508" ht="10.95" customHeight="true" customFormat="true" s="9">
      <c r="A508" s="15">
        <v>46307</v>
      </c>
      <c r="B508" s="16" t="s">
        <v>162</v>
      </c>
      <c r="C508" s="16" t="s">
        <v>215</v>
      </c>
      <c r="D508" s="16"/>
      <c r="E508" s="17">
        <v>1.0900</v>
      </c>
      <c r="F508" s="17">
        <v>0</v>
      </c>
      <c r="G508" s="17">
        <f ca="1">((G507 + F508) - E508)</f>
        <v>0</v>
      </c>
      <c r="H508" s="17">
        <v>-1.0900</v>
      </c>
      <c r="I508" s="17">
        <v>0</v>
      </c>
    </row>
    <row r="509" ht="10.95" customHeight="true" customFormat="true" s="9">
      <c r="A509" s="15">
        <v>46308</v>
      </c>
      <c r="B509" s="16" t="s">
        <v>162</v>
      </c>
      <c r="C509" s="16" t="s">
        <v>210</v>
      </c>
      <c r="D509" s="16"/>
      <c r="E509" s="17">
        <v>1.0900</v>
      </c>
      <c r="F509" s="17">
        <v>0</v>
      </c>
      <c r="G509" s="17">
        <f ca="1">((G508 + F509) - E509)</f>
        <v>0</v>
      </c>
      <c r="H509" s="17">
        <v>-1.0900</v>
      </c>
      <c r="I509" s="17">
        <v>0</v>
      </c>
    </row>
    <row r="510" ht="10.95" customHeight="true" customFormat="true" s="9">
      <c r="A510" s="15">
        <v>46308</v>
      </c>
      <c r="B510" s="16" t="s">
        <v>162</v>
      </c>
      <c r="C510" s="16" t="s">
        <v>215</v>
      </c>
      <c r="D510" s="16"/>
      <c r="E510" s="17">
        <v>0.7300</v>
      </c>
      <c r="F510" s="17">
        <v>0</v>
      </c>
      <c r="G510" s="17">
        <f ca="1">((G509 + F510) - E510)</f>
        <v>0</v>
      </c>
      <c r="H510" s="17">
        <v>-0.7300</v>
      </c>
      <c r="I510" s="17">
        <v>0</v>
      </c>
    </row>
    <row r="511" ht="10.95" customHeight="true" customFormat="true" s="9">
      <c r="A511" s="15">
        <v>46309</v>
      </c>
      <c r="B511" s="16" t="s">
        <v>162</v>
      </c>
      <c r="C511" s="16" t="s">
        <v>18</v>
      </c>
      <c r="D511" s="16" t="s">
        <v>224</v>
      </c>
      <c r="E511" s="17">
        <v>13.5000</v>
      </c>
      <c r="F511" s="17">
        <v>0</v>
      </c>
      <c r="G511" s="17">
        <f ca="1">((G510 + F511) - E511)</f>
        <v>0</v>
      </c>
      <c r="H511" s="17">
        <v>-13.5000</v>
      </c>
      <c r="I511" s="17">
        <v>0</v>
      </c>
    </row>
    <row r="512" ht="10.95" customHeight="true" customFormat="true" s="9">
      <c r="A512" s="15">
        <v>46309</v>
      </c>
      <c r="B512" s="16" t="s">
        <v>85</v>
      </c>
      <c r="C512" s="16" t="s">
        <v>15</v>
      </c>
      <c r="D512" s="16" t="s">
        <v>150</v>
      </c>
      <c r="E512" s="17">
        <v>0</v>
      </c>
      <c r="F512" s="17">
        <v>381.8200</v>
      </c>
      <c r="G512" s="17">
        <f ca="1">((G511 + F512) - E512)</f>
        <v>0</v>
      </c>
      <c r="H512" s="17">
        <v>381.8200</v>
      </c>
      <c r="I512" s="17">
        <v>0</v>
      </c>
    </row>
    <row r="513" ht="10.95" customHeight="true" customFormat="true" s="9">
      <c r="A513" s="15">
        <v>46310</v>
      </c>
      <c r="B513" s="16" t="s">
        <v>162</v>
      </c>
      <c r="C513" s="16" t="s">
        <v>226</v>
      </c>
      <c r="D513" s="16"/>
      <c r="E513" s="17">
        <v>3.5900</v>
      </c>
      <c r="F513" s="17">
        <v>0</v>
      </c>
      <c r="G513" s="17">
        <f ca="1">((G512 + F513) - E513)</f>
        <v>0</v>
      </c>
      <c r="H513" s="17">
        <v>-3.5900</v>
      </c>
      <c r="I513" s="17">
        <v>0</v>
      </c>
    </row>
    <row r="514" ht="10.95" customHeight="true" customFormat="true" s="9">
      <c r="A514" s="15">
        <v>46311</v>
      </c>
      <c r="B514" s="16" t="s">
        <v>229</v>
      </c>
      <c r="C514" s="16" t="s">
        <v>226</v>
      </c>
      <c r="D514" s="16" t="s">
        <v>230</v>
      </c>
      <c r="E514" s="17">
        <v>0</v>
      </c>
      <c r="F514" s="17">
        <v>3.5900</v>
      </c>
      <c r="G514" s="17">
        <f ca="1">((G513 + F514) - E514)</f>
        <v>0</v>
      </c>
      <c r="H514" s="17">
        <v>3.5900</v>
      </c>
      <c r="I514" s="17">
        <v>0</v>
      </c>
    </row>
    <row r="515" ht="10.95" customHeight="true" customFormat="true" s="9">
      <c r="A515" s="15">
        <v>46311</v>
      </c>
      <c r="B515" s="16" t="s">
        <v>14</v>
      </c>
      <c r="C515" s="16" t="s">
        <v>55</v>
      </c>
      <c r="D515" s="16"/>
      <c r="E515" s="17">
        <v>4.9000</v>
      </c>
      <c r="F515" s="17">
        <v>0</v>
      </c>
      <c r="G515" s="17">
        <f ca="1">((G514 + F515) - E515)</f>
        <v>0</v>
      </c>
      <c r="H515" s="17">
        <v>-4.9000</v>
      </c>
      <c r="I515" s="17">
        <v>0</v>
      </c>
    </row>
    <row r="516" ht="10.95" customHeight="true" customFormat="true" s="9">
      <c r="A516" s="15">
        <v>46311</v>
      </c>
      <c r="B516" s="16" t="s">
        <v>14</v>
      </c>
      <c r="C516" s="16" t="s">
        <v>76</v>
      </c>
      <c r="D516" s="16" t="s">
        <v>77</v>
      </c>
      <c r="E516" s="17">
        <v>76.3600</v>
      </c>
      <c r="F516" s="17">
        <v>0</v>
      </c>
      <c r="G516" s="17">
        <f ca="1">((G515 + F516) - E516)</f>
        <v>0</v>
      </c>
      <c r="H516" s="17">
        <v>-76.3600</v>
      </c>
      <c r="I516" s="17">
        <v>0</v>
      </c>
    </row>
    <row r="517" ht="10.95" customHeight="true" customFormat="true" s="9">
      <c r="A517" s="15">
        <v>46311</v>
      </c>
      <c r="B517" s="16" t="s">
        <v>85</v>
      </c>
      <c r="C517" s="16" t="s">
        <v>152</v>
      </c>
      <c r="D517" s="16" t="s">
        <v>153</v>
      </c>
      <c r="E517" s="17">
        <v>0</v>
      </c>
      <c r="F517" s="17">
        <v>45.0000</v>
      </c>
      <c r="G517" s="17">
        <f ca="1">((G516 + F517) - E517)</f>
        <v>0</v>
      </c>
      <c r="H517" s="17">
        <v>45.0000</v>
      </c>
      <c r="I517" s="17">
        <v>0</v>
      </c>
    </row>
    <row r="518" ht="10.95" customHeight="true" customFormat="true" s="9">
      <c r="A518" s="15">
        <v>46311</v>
      </c>
      <c r="B518" s="16" t="s">
        <v>98</v>
      </c>
      <c r="C518" s="16" t="s">
        <v>15</v>
      </c>
      <c r="D518" s="16" t="s">
        <v>117</v>
      </c>
      <c r="E518" s="17">
        <v>105.0000</v>
      </c>
      <c r="F518" s="17">
        <v>0</v>
      </c>
      <c r="G518" s="17">
        <f ca="1">((G517 + F518) - E518)</f>
        <v>0</v>
      </c>
      <c r="H518" s="17">
        <v>-105.0000</v>
      </c>
      <c r="I518" s="17">
        <v>0</v>
      </c>
    </row>
    <row r="519" ht="10.95" customHeight="true" customFormat="true" s="9">
      <c r="A519" s="15">
        <v>46312</v>
      </c>
      <c r="B519" s="16" t="s">
        <v>162</v>
      </c>
      <c r="C519" s="16" t="s">
        <v>235</v>
      </c>
      <c r="D519" s="16" t="s">
        <v>236</v>
      </c>
      <c r="E519" s="17">
        <v>409.0900</v>
      </c>
      <c r="F519" s="17">
        <v>0</v>
      </c>
      <c r="G519" s="17">
        <f ca="1">((G518 + F519) - E519)</f>
        <v>0</v>
      </c>
      <c r="H519" s="17">
        <v>-409.0900</v>
      </c>
      <c r="I519" s="17">
        <v>0</v>
      </c>
    </row>
    <row r="520" ht="10.95" customHeight="true" customFormat="true" s="9">
      <c r="A520" s="15">
        <v>46312</v>
      </c>
      <c r="B520" s="16" t="s">
        <v>85</v>
      </c>
      <c r="C520" s="16" t="s">
        <v>155</v>
      </c>
      <c r="D520" s="16" t="s">
        <v>156</v>
      </c>
      <c r="E520" s="17">
        <v>0</v>
      </c>
      <c r="F520" s="17">
        <v>35.0000</v>
      </c>
      <c r="G520" s="17">
        <f ca="1">((G519 + F520) - E520)</f>
        <v>0</v>
      </c>
      <c r="H520" s="17">
        <v>35.0000</v>
      </c>
      <c r="I520" s="17">
        <v>0</v>
      </c>
    </row>
    <row r="521" ht="10.95" customHeight="true" customFormat="true" s="9">
      <c r="A521" s="15">
        <v>46312</v>
      </c>
      <c r="B521" s="16" t="s">
        <v>85</v>
      </c>
      <c r="C521" s="16" t="s">
        <v>155</v>
      </c>
      <c r="D521" s="16" t="s">
        <v>156</v>
      </c>
      <c r="E521" s="17">
        <v>0</v>
      </c>
      <c r="F521" s="17">
        <v>48.1400</v>
      </c>
      <c r="G521" s="17">
        <f ca="1">((G520 + F521) - E521)</f>
        <v>0</v>
      </c>
      <c r="H521" s="17">
        <v>48.1400</v>
      </c>
      <c r="I521" s="17">
        <v>0</v>
      </c>
    </row>
    <row r="522" ht="10.95" customHeight="true" customFormat="true" s="9">
      <c r="A522" s="15">
        <v>46312</v>
      </c>
      <c r="B522" s="16" t="s">
        <v>85</v>
      </c>
      <c r="C522" s="16" t="s">
        <v>157</v>
      </c>
      <c r="D522" s="16" t="s">
        <v>158</v>
      </c>
      <c r="E522" s="17">
        <v>0</v>
      </c>
      <c r="F522" s="17">
        <v>36.0000</v>
      </c>
      <c r="G522" s="17">
        <f ca="1">((G521 + F522) - E522)</f>
        <v>0</v>
      </c>
      <c r="H522" s="17">
        <v>36.0000</v>
      </c>
      <c r="I522" s="17">
        <v>0</v>
      </c>
    </row>
    <row r="523" ht="10.95" customHeight="true" customFormat="true" s="9">
      <c r="A523" s="15">
        <v>46312</v>
      </c>
      <c r="B523" s="16" t="s">
        <v>14</v>
      </c>
      <c r="C523" s="16" t="s">
        <v>78</v>
      </c>
      <c r="D523" s="16" t="s">
        <v>79</v>
      </c>
      <c r="E523" s="17">
        <v>12.0000</v>
      </c>
      <c r="F523" s="17">
        <v>0</v>
      </c>
      <c r="G523" s="17">
        <f ca="1">((G522 + F523) - E523)</f>
        <v>0</v>
      </c>
      <c r="H523" s="17">
        <v>-12.0000</v>
      </c>
      <c r="I523" s="17">
        <v>0</v>
      </c>
    </row>
    <row r="524" ht="10.95" customHeight="true" customFormat="true" s="9">
      <c r="A524" s="15">
        <v>46312</v>
      </c>
      <c r="B524" s="16" t="s">
        <v>14</v>
      </c>
      <c r="C524" s="16" t="s">
        <v>80</v>
      </c>
      <c r="D524" s="16" t="s">
        <v>81</v>
      </c>
      <c r="E524" s="17">
        <v>22.0000</v>
      </c>
      <c r="F524" s="17">
        <v>0</v>
      </c>
      <c r="G524" s="17">
        <f ca="1">((G523 + F524) - E524)</f>
        <v>0</v>
      </c>
      <c r="H524" s="17">
        <v>-22.0000</v>
      </c>
      <c r="I524" s="17">
        <v>0</v>
      </c>
    </row>
    <row r="525" ht="10.95" customHeight="true" customFormat="true" s="9">
      <c r="A525" s="15">
        <v>46312</v>
      </c>
      <c r="B525" s="16" t="s">
        <v>85</v>
      </c>
      <c r="C525" s="16" t="s">
        <v>69</v>
      </c>
      <c r="D525" s="16" t="s">
        <v>77</v>
      </c>
      <c r="E525" s="17">
        <v>0</v>
      </c>
      <c r="F525" s="17">
        <v>21.2700</v>
      </c>
      <c r="G525" s="17">
        <f ca="1">((G524 + F525) - E525)</f>
        <v>0</v>
      </c>
      <c r="H525" s="17">
        <v>21.2700</v>
      </c>
      <c r="I525" s="17">
        <v>0</v>
      </c>
    </row>
    <row r="526" ht="10.95" customHeight="true" customFormat="true" s="9">
      <c r="A526" s="15">
        <v>46312</v>
      </c>
      <c r="B526" s="16" t="s">
        <v>85</v>
      </c>
      <c r="C526" s="16" t="s">
        <v>144</v>
      </c>
      <c r="D526" s="16" t="s">
        <v>159</v>
      </c>
      <c r="E526" s="17">
        <v>0</v>
      </c>
      <c r="F526" s="17">
        <v>150.0000</v>
      </c>
      <c r="G526" s="17">
        <f ca="1">((G525 + F526) - E526)</f>
        <v>0</v>
      </c>
      <c r="H526" s="17">
        <v>150.0000</v>
      </c>
      <c r="I526" s="17">
        <v>0</v>
      </c>
    </row>
    <row r="527" ht="10.95" customHeight="true" customFormat="true" s="9">
      <c r="A527" s="15">
        <v>46312</v>
      </c>
      <c r="B527" s="16" t="s">
        <v>162</v>
      </c>
      <c r="C527" s="16" t="s">
        <v>215</v>
      </c>
      <c r="D527" s="16"/>
      <c r="E527" s="17">
        <v>0.5500</v>
      </c>
      <c r="F527" s="17">
        <v>0</v>
      </c>
      <c r="G527" s="17">
        <f ca="1">((G526 + F527) - E527)</f>
        <v>0</v>
      </c>
      <c r="H527" s="17">
        <v>-0.5500</v>
      </c>
      <c r="I527" s="17">
        <v>0</v>
      </c>
    </row>
    <row r="528" ht="10.95" customHeight="true" customFormat="true" s="9">
      <c r="A528" s="18" t="s">
        <v>263</v>
      </c>
      <c r="B528" s="18"/>
      <c r="C528" s="18"/>
      <c r="D528" s="18"/>
      <c r="E528" s="19">
        <f ca="1">SUM(E389:E527)</f>
        <v>0</v>
      </c>
      <c r="F528" s="19">
        <f ca="1">SUM(F389:F527)</f>
        <v>0</v>
      </c>
      <c r="G528" s="19">
        <f ca="1">G527</f>
        <v>0</v>
      </c>
      <c r="H528" s="19">
        <f ca="1">SUM(H389:H527)</f>
        <v>0</v>
      </c>
      <c r="I528" s="19">
        <f ca="1">SUM(I389:I527)</f>
        <v>0</v>
      </c>
    </row>
    <row r="529" ht="10.95" customHeight="true" customFormat="true" s="9">
      <c r="A529" s="10" t="s">
        <v>83</v>
      </c>
      <c r="B529" s="10"/>
      <c r="C529" s="10"/>
      <c r="D529" s="10"/>
      <c r="E529" s="11">
        <v>0</v>
      </c>
      <c r="F529" s="11">
        <v>2094.2000</v>
      </c>
      <c r="G529" s="11">
        <f ca="1">G527</f>
        <v>0</v>
      </c>
      <c r="H529" s="11">
        <v>0</v>
      </c>
      <c r="I529" s="11">
        <v>0</v>
      </c>
    </row>
    <row r="530" ht="13.35" customHeight="true"/>
    <row r="531" ht="12.1" customHeight="true" customFormat="true" s="5">
      <c r="A531" s="8" t="s">
        <v>264</v>
      </c>
      <c r="B531" s="8"/>
      <c r="C531" s="8"/>
      <c r="D531" s="8"/>
      <c r="E531" s="8"/>
      <c r="F531" s="8"/>
      <c r="G531" s="8"/>
      <c r="H531" s="8"/>
      <c r="I531" s="8"/>
    </row>
    <row r="532" ht="10.95" customHeight="true" customFormat="true" s="9">
      <c r="A532" s="10" t="s">
        <v>13</v>
      </c>
      <c r="B532" s="10"/>
      <c r="C532" s="10"/>
      <c r="D532" s="10"/>
      <c r="E532" s="11">
        <v>0</v>
      </c>
      <c r="F532" s="11">
        <v>0</v>
      </c>
      <c r="G532" s="11">
        <f ca="1">(F532 - E532)</f>
        <v>0</v>
      </c>
      <c r="H532" s="11">
        <v>0</v>
      </c>
      <c r="I532" s="11">
        <v>0</v>
      </c>
    </row>
    <row r="533" ht="10.95" customHeight="true" customFormat="true" s="9">
      <c r="A533" s="12">
        <v>46219</v>
      </c>
      <c r="B533" s="13" t="s">
        <v>173</v>
      </c>
      <c r="C533" s="13" t="s">
        <v>174</v>
      </c>
      <c r="D533" s="13"/>
      <c r="E533" s="14">
        <v>0</v>
      </c>
      <c r="F533" s="14">
        <v>19212.2100</v>
      </c>
      <c r="G533" s="14">
        <f ca="1">((G532 + F533) - E533)</f>
        <v>0</v>
      </c>
      <c r="H533" s="14">
        <v>19212.2100</v>
      </c>
      <c r="I533" s="14">
        <v>0</v>
      </c>
    </row>
    <row r="534" ht="10.95" customHeight="true" customFormat="true" s="9">
      <c r="A534" s="18" t="s">
        <v>265</v>
      </c>
      <c r="B534" s="18"/>
      <c r="C534" s="18"/>
      <c r="D534" s="18"/>
      <c r="E534" s="19">
        <f ca="1">E533</f>
        <v>0</v>
      </c>
      <c r="F534" s="19">
        <f ca="1">F533</f>
        <v>0</v>
      </c>
      <c r="G534" s="19">
        <f ca="1">G533</f>
        <v>0</v>
      </c>
      <c r="H534" s="19">
        <f ca="1">H533</f>
        <v>0</v>
      </c>
      <c r="I534" s="19">
        <f ca="1">I533</f>
        <v>0</v>
      </c>
    </row>
    <row r="535" ht="10.95" customHeight="true" customFormat="true" s="9">
      <c r="A535" s="10" t="s">
        <v>83</v>
      </c>
      <c r="B535" s="10"/>
      <c r="C535" s="10"/>
      <c r="D535" s="10"/>
      <c r="E535" s="11">
        <v>0</v>
      </c>
      <c r="F535" s="11">
        <v>19212.2100</v>
      </c>
      <c r="G535" s="11">
        <f ca="1">G533</f>
        <v>0</v>
      </c>
      <c r="H535" s="11">
        <v>0</v>
      </c>
      <c r="I535" s="11">
        <v>0</v>
      </c>
    </row>
    <row r="536" ht="13.35" customHeight="true"/>
    <row r="537" ht="12.1" customHeight="true" customFormat="true" s="5">
      <c r="A537" s="20" t="s">
        <v>266</v>
      </c>
      <c r="B537" s="20"/>
      <c r="C537" s="20"/>
      <c r="D537" s="20"/>
      <c r="E537" s="20"/>
      <c r="F537" s="20"/>
      <c r="G537" s="20"/>
      <c r="H537" s="20"/>
      <c r="I537" s="20"/>
    </row>
    <row r="538" ht="10.95" customHeight="true" customFormat="true" s="9">
      <c r="A538" s="12">
        <v>46311</v>
      </c>
      <c r="B538" s="13" t="s">
        <v>229</v>
      </c>
      <c r="C538" s="13" t="s">
        <v>267</v>
      </c>
      <c r="D538" s="13"/>
      <c r="E538" s="14">
        <v>0</v>
      </c>
      <c r="F538" s="14">
        <v>97.0500</v>
      </c>
      <c r="G538" s="14">
        <f ca="1">(F538 - E538)</f>
        <v>0</v>
      </c>
      <c r="H538" s="14">
        <v>97.0500</v>
      </c>
      <c r="I538" s="14">
        <v>0</v>
      </c>
    </row>
    <row r="539" ht="10.95" customHeight="true" customFormat="true" s="9">
      <c r="A539" s="18" t="s">
        <v>268</v>
      </c>
      <c r="B539" s="18"/>
      <c r="C539" s="18"/>
      <c r="D539" s="18"/>
      <c r="E539" s="19">
        <f ca="1">E538</f>
        <v>0</v>
      </c>
      <c r="F539" s="19">
        <f ca="1">F538</f>
        <v>0</v>
      </c>
      <c r="G539" s="19">
        <f ca="1">G538</f>
        <v>0</v>
      </c>
      <c r="H539" s="19">
        <f ca="1">H538</f>
        <v>0</v>
      </c>
      <c r="I539" s="19">
        <f ca="1">I538</f>
        <v>0</v>
      </c>
    </row>
    <row r="540" ht="13.35" customHeight="true"/>
    <row r="541" ht="12.1" customHeight="true" customFormat="true" s="5">
      <c r="A541" s="8" t="s">
        <v>269</v>
      </c>
      <c r="B541" s="8"/>
      <c r="C541" s="8"/>
      <c r="D541" s="8"/>
      <c r="E541" s="8"/>
      <c r="F541" s="8"/>
      <c r="G541" s="8"/>
      <c r="H541" s="8"/>
      <c r="I541" s="8"/>
    </row>
    <row r="542" ht="10.95" customHeight="true" customFormat="true" s="9">
      <c r="A542" s="10" t="s">
        <v>13</v>
      </c>
      <c r="B542" s="10"/>
      <c r="C542" s="10"/>
      <c r="D542" s="10"/>
      <c r="E542" s="11">
        <v>0</v>
      </c>
      <c r="F542" s="11">
        <v>0</v>
      </c>
      <c r="G542" s="11">
        <f ca="1">(E542 - F542)</f>
        <v>0</v>
      </c>
      <c r="H542" s="11">
        <v>0</v>
      </c>
      <c r="I542" s="11">
        <v>0</v>
      </c>
    </row>
    <row r="543" ht="10.95" customHeight="true" customFormat="true" s="9">
      <c r="A543" s="12">
        <v>46312</v>
      </c>
      <c r="B543" s="13"/>
      <c r="C543" s="13" t="s">
        <v>270</v>
      </c>
      <c r="D543" s="13"/>
      <c r="E543" s="14">
        <v>100.0000</v>
      </c>
      <c r="F543" s="14">
        <v>0</v>
      </c>
      <c r="G543" s="14">
        <f ca="1">((G542 + E543) - F543)</f>
        <v>0</v>
      </c>
      <c r="H543" s="14">
        <v>100.0000</v>
      </c>
      <c r="I543" s="14">
        <v>0</v>
      </c>
    </row>
    <row r="544" ht="10.95" customHeight="true" customFormat="true" s="9">
      <c r="A544" s="15">
        <v>46312</v>
      </c>
      <c r="B544" s="16"/>
      <c r="C544" s="16" t="s">
        <v>270</v>
      </c>
      <c r="D544" s="16"/>
      <c r="E544" s="17">
        <v>0</v>
      </c>
      <c r="F544" s="17">
        <v>80.0000</v>
      </c>
      <c r="G544" s="17">
        <f ca="1">((G543 + E544) - F544)</f>
        <v>0</v>
      </c>
      <c r="H544" s="17">
        <v>-80.0000</v>
      </c>
      <c r="I544" s="17">
        <v>0</v>
      </c>
    </row>
    <row r="545" ht="10.95" customHeight="true" customFormat="true" s="9">
      <c r="A545" s="15">
        <v>46312</v>
      </c>
      <c r="B545" s="16"/>
      <c r="C545" s="16" t="s">
        <v>270</v>
      </c>
      <c r="D545" s="16"/>
      <c r="E545" s="17">
        <v>0</v>
      </c>
      <c r="F545" s="17">
        <v>100.0000</v>
      </c>
      <c r="G545" s="17">
        <f ca="1">((G544 + E545) - F545)</f>
        <v>0</v>
      </c>
      <c r="H545" s="17">
        <v>-100.0000</v>
      </c>
      <c r="I545" s="17">
        <v>0</v>
      </c>
    </row>
    <row r="546" ht="10.95" customHeight="true" customFormat="true" s="9">
      <c r="A546" s="15">
        <v>46312</v>
      </c>
      <c r="B546" s="16"/>
      <c r="C546" s="16" t="s">
        <v>270</v>
      </c>
      <c r="D546" s="16"/>
      <c r="E546" s="17">
        <v>140.0000</v>
      </c>
      <c r="F546" s="17">
        <v>0</v>
      </c>
      <c r="G546" s="17">
        <f ca="1">((G545 + E546) - F546)</f>
        <v>0</v>
      </c>
      <c r="H546" s="17">
        <v>140.0000</v>
      </c>
      <c r="I546" s="17">
        <v>0</v>
      </c>
    </row>
    <row r="547" ht="10.95" customHeight="true" customFormat="true" s="9">
      <c r="A547" s="15">
        <v>46312</v>
      </c>
      <c r="B547" s="16"/>
      <c r="C547" s="16" t="s">
        <v>270</v>
      </c>
      <c r="D547" s="16"/>
      <c r="E547" s="17">
        <v>80.0000</v>
      </c>
      <c r="F547" s="17">
        <v>0</v>
      </c>
      <c r="G547" s="17">
        <f ca="1">((G546 + E547) - F547)</f>
        <v>0</v>
      </c>
      <c r="H547" s="17">
        <v>80.0000</v>
      </c>
      <c r="I547" s="17">
        <v>0</v>
      </c>
    </row>
    <row r="548" ht="10.95" customHeight="true" customFormat="true" s="9">
      <c r="A548" s="15">
        <v>46312</v>
      </c>
      <c r="B548" s="16"/>
      <c r="C548" s="16" t="s">
        <v>270</v>
      </c>
      <c r="D548" s="16"/>
      <c r="E548" s="17">
        <v>0</v>
      </c>
      <c r="F548" s="17">
        <v>140.0000</v>
      </c>
      <c r="G548" s="17">
        <f ca="1">((G547 + E548) - F548)</f>
        <v>0</v>
      </c>
      <c r="H548" s="17">
        <v>-140.0000</v>
      </c>
      <c r="I548" s="17">
        <v>0</v>
      </c>
    </row>
    <row r="549" ht="10.95" customHeight="true" customFormat="true" s="9">
      <c r="A549" s="18" t="s">
        <v>271</v>
      </c>
      <c r="B549" s="18"/>
      <c r="C549" s="18"/>
      <c r="D549" s="18"/>
      <c r="E549" s="19">
        <f ca="1">SUM(E543:E548)</f>
        <v>0</v>
      </c>
      <c r="F549" s="19">
        <f ca="1">SUM(F543:F548)</f>
        <v>0</v>
      </c>
      <c r="G549" s="19">
        <f ca="1">G548</f>
        <v>0</v>
      </c>
      <c r="H549" s="19">
        <f ca="1">SUM(H543:H548)</f>
        <v>0</v>
      </c>
      <c r="I549" s="19">
        <f ca="1">SUM(I543:I548)</f>
        <v>0</v>
      </c>
    </row>
    <row r="550" ht="10.95" customHeight="true" customFormat="true" s="9">
      <c r="A550" s="10" t="s">
        <v>83</v>
      </c>
      <c r="B550" s="10"/>
      <c r="C550" s="10"/>
      <c r="D550" s="10"/>
      <c r="E550" s="11">
        <v>0</v>
      </c>
      <c r="F550" s="11">
        <v>0</v>
      </c>
      <c r="G550" s="11">
        <f ca="1">G548</f>
        <v>0</v>
      </c>
      <c r="H550" s="11">
        <v>0</v>
      </c>
      <c r="I550" s="11">
        <v>0</v>
      </c>
    </row>
    <row r="551" ht="13.35" customHeight="true"/>
    <row r="552" ht="12.1" customHeight="true" customFormat="true" s="5">
      <c r="A552" s="20" t="s">
        <v>272</v>
      </c>
      <c r="B552" s="20"/>
      <c r="C552" s="20"/>
      <c r="D552" s="20"/>
      <c r="E552" s="20"/>
      <c r="F552" s="20"/>
      <c r="G552" s="20"/>
      <c r="H552" s="20"/>
      <c r="I552" s="20"/>
    </row>
    <row r="553" ht="10.95" customHeight="true" customFormat="true" s="9">
      <c r="A553" s="12">
        <v>46312</v>
      </c>
      <c r="B553" s="13" t="s">
        <v>162</v>
      </c>
      <c r="C553" s="13" t="s">
        <v>273</v>
      </c>
      <c r="D553" s="13" t="s">
        <v>236</v>
      </c>
      <c r="E553" s="14">
        <v>4090.9100</v>
      </c>
      <c r="F553" s="14">
        <v>0</v>
      </c>
      <c r="G553" s="14">
        <f ca="1">(E553 - F553)</f>
        <v>0</v>
      </c>
      <c r="H553" s="14">
        <v>4500.0000</v>
      </c>
      <c r="I553" s="14">
        <v>409.0900</v>
      </c>
    </row>
    <row r="554" ht="10.95" customHeight="true" customFormat="true" s="9">
      <c r="A554" s="18" t="s">
        <v>274</v>
      </c>
      <c r="B554" s="18"/>
      <c r="C554" s="18"/>
      <c r="D554" s="18"/>
      <c r="E554" s="19">
        <f ca="1">E553</f>
        <v>0</v>
      </c>
      <c r="F554" s="19">
        <f ca="1">F553</f>
        <v>0</v>
      </c>
      <c r="G554" s="19">
        <f ca="1">G553</f>
        <v>0</v>
      </c>
      <c r="H554" s="19">
        <f ca="1">H553</f>
        <v>0</v>
      </c>
      <c r="I554" s="19">
        <f ca="1">I553</f>
        <v>0</v>
      </c>
    </row>
    <row r="555" ht="13.35" customHeight="true"/>
    <row r="556" ht="12.1" customHeight="true" customFormat="true" s="5">
      <c r="A556" s="8" t="s">
        <v>275</v>
      </c>
      <c r="B556" s="8"/>
      <c r="C556" s="8"/>
      <c r="D556" s="8"/>
      <c r="E556" s="8"/>
      <c r="F556" s="8"/>
      <c r="G556" s="8"/>
      <c r="H556" s="8"/>
      <c r="I556" s="8"/>
    </row>
    <row r="557" ht="10.95" customHeight="true" customFormat="true" s="9">
      <c r="A557" s="10" t="s">
        <v>13</v>
      </c>
      <c r="B557" s="10"/>
      <c r="C557" s="10"/>
      <c r="D557" s="10"/>
      <c r="E557" s="11">
        <v>0</v>
      </c>
      <c r="F557" s="11">
        <v>0</v>
      </c>
      <c r="G557" s="11">
        <f ca="1">(E557 - F557)</f>
        <v>0</v>
      </c>
      <c r="H557" s="11">
        <v>0</v>
      </c>
      <c r="I557" s="11">
        <v>0</v>
      </c>
    </row>
    <row r="558" ht="10.95" customHeight="true" customFormat="true" s="9">
      <c r="A558" s="12">
        <v>46250</v>
      </c>
      <c r="B558" s="13" t="s">
        <v>260</v>
      </c>
      <c r="C558" s="13" t="s">
        <v>276</v>
      </c>
      <c r="D558" s="13" t="s">
        <v>262</v>
      </c>
      <c r="E558" s="14">
        <v>0</v>
      </c>
      <c r="F558" s="14">
        <v>825.0000</v>
      </c>
      <c r="G558" s="14">
        <f ca="1">((G557 + E558) - F558)</f>
        <v>0</v>
      </c>
      <c r="H558" s="14">
        <v>-825.0000</v>
      </c>
      <c r="I558" s="14">
        <v>0</v>
      </c>
    </row>
    <row r="559" ht="10.95" customHeight="true" customFormat="true" s="9">
      <c r="A559" s="18" t="s">
        <v>277</v>
      </c>
      <c r="B559" s="18"/>
      <c r="C559" s="18"/>
      <c r="D559" s="18"/>
      <c r="E559" s="19">
        <f ca="1">E558</f>
        <v>0</v>
      </c>
      <c r="F559" s="19">
        <f ca="1">F558</f>
        <v>0</v>
      </c>
      <c r="G559" s="19">
        <f ca="1">G558</f>
        <v>0</v>
      </c>
      <c r="H559" s="19">
        <f ca="1">H558</f>
        <v>0</v>
      </c>
      <c r="I559" s="19">
        <f ca="1">I558</f>
        <v>0</v>
      </c>
    </row>
    <row r="560" ht="10.95" customHeight="true" customFormat="true" s="9">
      <c r="A560" s="10" t="s">
        <v>83</v>
      </c>
      <c r="B560" s="10"/>
      <c r="C560" s="10"/>
      <c r="D560" s="10"/>
      <c r="E560" s="11">
        <v>0</v>
      </c>
      <c r="F560" s="11">
        <v>825.0000</v>
      </c>
      <c r="G560" s="11">
        <f ca="1">G558</f>
        <v>0</v>
      </c>
      <c r="H560" s="11">
        <v>0</v>
      </c>
      <c r="I560" s="11">
        <v>0</v>
      </c>
    </row>
    <row r="561" ht="13.35" customHeight="true"/>
    <row r="562" ht="12.1" customHeight="true" customFormat="true" s="5">
      <c r="A562" s="20" t="s">
        <v>278</v>
      </c>
      <c r="B562" s="20"/>
      <c r="C562" s="20"/>
      <c r="D562" s="20"/>
      <c r="E562" s="20"/>
      <c r="F562" s="20"/>
      <c r="G562" s="20"/>
      <c r="H562" s="20"/>
      <c r="I562" s="20"/>
    </row>
    <row r="563" ht="10.95" customHeight="true" customFormat="true" s="9">
      <c r="A563" s="12">
        <v>46233</v>
      </c>
      <c r="B563" s="13" t="s">
        <v>14</v>
      </c>
      <c r="C563" s="13" t="s">
        <v>25</v>
      </c>
      <c r="D563" s="13" t="s">
        <v>26</v>
      </c>
      <c r="E563" s="14">
        <v>350.0000</v>
      </c>
      <c r="F563" s="14">
        <v>0</v>
      </c>
      <c r="G563" s="14">
        <f ca="1">(E563 - F563)</f>
        <v>0</v>
      </c>
      <c r="H563" s="14">
        <v>385.0000</v>
      </c>
      <c r="I563" s="14">
        <v>35.0000</v>
      </c>
    </row>
    <row r="564" ht="10.95" customHeight="true" customFormat="true" s="9">
      <c r="A564" s="15">
        <v>46264</v>
      </c>
      <c r="B564" s="16" t="s">
        <v>14</v>
      </c>
      <c r="C564" s="16" t="s">
        <v>25</v>
      </c>
      <c r="D564" s="16" t="s">
        <v>45</v>
      </c>
      <c r="E564" s="17">
        <v>295.0000</v>
      </c>
      <c r="F564" s="17">
        <v>0</v>
      </c>
      <c r="G564" s="17">
        <f ca="1">((G563 + E564) - F564)</f>
        <v>0</v>
      </c>
      <c r="H564" s="17">
        <v>324.5000</v>
      </c>
      <c r="I564" s="17">
        <v>29.5000</v>
      </c>
    </row>
    <row r="565" ht="10.95" customHeight="true" customFormat="true" s="9">
      <c r="A565" s="15">
        <v>46295</v>
      </c>
      <c r="B565" s="16" t="s">
        <v>14</v>
      </c>
      <c r="C565" s="16" t="s">
        <v>25</v>
      </c>
      <c r="D565" s="16" t="s">
        <v>60</v>
      </c>
      <c r="E565" s="17">
        <v>301.0000</v>
      </c>
      <c r="F565" s="17">
        <v>0</v>
      </c>
      <c r="G565" s="17">
        <f ca="1">((G564 + E565) - F565)</f>
        <v>0</v>
      </c>
      <c r="H565" s="17">
        <v>331.1000</v>
      </c>
      <c r="I565" s="17">
        <v>30.1000</v>
      </c>
    </row>
    <row r="566" ht="10.95" customHeight="true" customFormat="true" s="9">
      <c r="A566" s="15">
        <v>46300</v>
      </c>
      <c r="B566" s="16" t="s">
        <v>14</v>
      </c>
      <c r="C566" s="16" t="s">
        <v>279</v>
      </c>
      <c r="D566" s="16" t="s">
        <v>67</v>
      </c>
      <c r="E566" s="17">
        <v>98.7300</v>
      </c>
      <c r="F566" s="17">
        <v>0</v>
      </c>
      <c r="G566" s="17">
        <f ca="1">((G565 + E566) - F566)</f>
        <v>0</v>
      </c>
      <c r="H566" s="17">
        <v>108.6000</v>
      </c>
      <c r="I566" s="17">
        <v>9.8700</v>
      </c>
    </row>
    <row r="567" ht="10.95" customHeight="true" customFormat="true" s="9">
      <c r="A567" s="18" t="s">
        <v>280</v>
      </c>
      <c r="B567" s="18"/>
      <c r="C567" s="18"/>
      <c r="D567" s="18"/>
      <c r="E567" s="19">
        <f ca="1">SUM(E563:E566)</f>
        <v>0</v>
      </c>
      <c r="F567" s="19">
        <f ca="1">SUM(F563:F566)</f>
        <v>0</v>
      </c>
      <c r="G567" s="19">
        <f ca="1">G566</f>
        <v>0</v>
      </c>
      <c r="H567" s="19">
        <f ca="1">SUM(H563:H566)</f>
        <v>0</v>
      </c>
      <c r="I567" s="19">
        <f ca="1">SUM(I563:I566)</f>
        <v>0</v>
      </c>
    </row>
    <row r="568" ht="13.35" customHeight="true"/>
    <row r="569" ht="12.1" customHeight="true" customFormat="true" s="5">
      <c r="A569" s="20" t="s">
        <v>281</v>
      </c>
      <c r="B569" s="20"/>
      <c r="C569" s="20"/>
      <c r="D569" s="20"/>
      <c r="E569" s="20"/>
      <c r="F569" s="20"/>
      <c r="G569" s="20"/>
      <c r="H569" s="20"/>
      <c r="I569" s="20"/>
    </row>
    <row r="570" ht="10.95" customHeight="true" customFormat="true" s="9">
      <c r="A570" s="12">
        <v>46220</v>
      </c>
      <c r="B570" s="13" t="s">
        <v>14</v>
      </c>
      <c r="C570" s="13" t="s">
        <v>18</v>
      </c>
      <c r="D570" s="13" t="s">
        <v>19</v>
      </c>
      <c r="E570" s="14">
        <v>135.0000</v>
      </c>
      <c r="F570" s="14">
        <v>0</v>
      </c>
      <c r="G570" s="14">
        <f ca="1">(E570 - F570)</f>
        <v>0</v>
      </c>
      <c r="H570" s="14">
        <v>148.5000</v>
      </c>
      <c r="I570" s="14">
        <v>13.5000</v>
      </c>
    </row>
    <row r="571" ht="10.95" customHeight="true" customFormat="true" s="9">
      <c r="A571" s="15">
        <v>46239</v>
      </c>
      <c r="B571" s="16" t="s">
        <v>162</v>
      </c>
      <c r="C571" s="16" t="s">
        <v>189</v>
      </c>
      <c r="D571" s="16"/>
      <c r="E571" s="17">
        <v>40.9100</v>
      </c>
      <c r="F571" s="17">
        <v>0</v>
      </c>
      <c r="G571" s="17">
        <f ca="1">((G570 + E571) - F571)</f>
        <v>0</v>
      </c>
      <c r="H571" s="17">
        <v>45.0000</v>
      </c>
      <c r="I571" s="17">
        <v>4.0900</v>
      </c>
    </row>
    <row r="572" ht="10.95" customHeight="true" customFormat="true" s="9">
      <c r="A572" s="15">
        <v>46251</v>
      </c>
      <c r="B572" s="16" t="s">
        <v>14</v>
      </c>
      <c r="C572" s="16" t="s">
        <v>18</v>
      </c>
      <c r="D572" s="16" t="s">
        <v>42</v>
      </c>
      <c r="E572" s="17">
        <v>135.0000</v>
      </c>
      <c r="F572" s="17">
        <v>0</v>
      </c>
      <c r="G572" s="17">
        <f ca="1">((G571 + E572) - F572)</f>
        <v>0</v>
      </c>
      <c r="H572" s="17">
        <v>148.5000</v>
      </c>
      <c r="I572" s="17">
        <v>13.5000</v>
      </c>
    </row>
    <row r="573" ht="10.95" customHeight="true" customFormat="true" s="9">
      <c r="A573" s="15">
        <v>46251</v>
      </c>
      <c r="B573" s="16" t="s">
        <v>162</v>
      </c>
      <c r="C573" s="16" t="s">
        <v>282</v>
      </c>
      <c r="D573" s="16"/>
      <c r="E573" s="17">
        <v>59.0900</v>
      </c>
      <c r="F573" s="17">
        <v>0</v>
      </c>
      <c r="G573" s="17">
        <f ca="1">((G572 + E573) - F573)</f>
        <v>0</v>
      </c>
      <c r="H573" s="17">
        <v>65.0000</v>
      </c>
      <c r="I573" s="17">
        <v>5.9100</v>
      </c>
    </row>
    <row r="574" ht="10.95" customHeight="true" customFormat="true" s="9">
      <c r="A574" s="15">
        <v>46288</v>
      </c>
      <c r="B574" s="16" t="s">
        <v>162</v>
      </c>
      <c r="C574" s="16" t="s">
        <v>189</v>
      </c>
      <c r="D574" s="16"/>
      <c r="E574" s="17">
        <v>59.0900</v>
      </c>
      <c r="F574" s="17">
        <v>0</v>
      </c>
      <c r="G574" s="17">
        <f ca="1">((G573 + E574) - F574)</f>
        <v>0</v>
      </c>
      <c r="H574" s="17">
        <v>65.0000</v>
      </c>
      <c r="I574" s="17">
        <v>5.9100</v>
      </c>
    </row>
    <row r="575" ht="10.95" customHeight="true" customFormat="true" s="9">
      <c r="A575" s="15">
        <v>46307</v>
      </c>
      <c r="B575" s="16" t="s">
        <v>14</v>
      </c>
      <c r="C575" s="16" t="s">
        <v>283</v>
      </c>
      <c r="D575" s="16"/>
      <c r="E575" s="17">
        <v>373.9500</v>
      </c>
      <c r="F575" s="17">
        <v>0</v>
      </c>
      <c r="G575" s="17">
        <f ca="1">((G574 + E575) - F575)</f>
        <v>0</v>
      </c>
      <c r="H575" s="17">
        <v>411.3500</v>
      </c>
      <c r="I575" s="17">
        <v>37.4000</v>
      </c>
    </row>
    <row r="576" ht="10.95" customHeight="true" customFormat="true" s="9">
      <c r="A576" s="15">
        <v>46309</v>
      </c>
      <c r="B576" s="16" t="s">
        <v>162</v>
      </c>
      <c r="C576" s="16" t="s">
        <v>18</v>
      </c>
      <c r="D576" s="16" t="s">
        <v>224</v>
      </c>
      <c r="E576" s="17">
        <v>135.0000</v>
      </c>
      <c r="F576" s="17">
        <v>0</v>
      </c>
      <c r="G576" s="17">
        <f ca="1">((G575 + E576) - F576)</f>
        <v>0</v>
      </c>
      <c r="H576" s="17">
        <v>148.5000</v>
      </c>
      <c r="I576" s="17">
        <v>13.5000</v>
      </c>
    </row>
    <row r="577" ht="10.95" customHeight="true" customFormat="true" s="9">
      <c r="A577" s="18" t="s">
        <v>284</v>
      </c>
      <c r="B577" s="18"/>
      <c r="C577" s="18"/>
      <c r="D577" s="18"/>
      <c r="E577" s="19">
        <f ca="1">SUM(E570:E576)</f>
        <v>0</v>
      </c>
      <c r="F577" s="19">
        <f ca="1">SUM(F570:F576)</f>
        <v>0</v>
      </c>
      <c r="G577" s="19">
        <f ca="1">G576</f>
        <v>0</v>
      </c>
      <c r="H577" s="19">
        <f ca="1">SUM(H570:H576)</f>
        <v>0</v>
      </c>
      <c r="I577" s="19">
        <f ca="1">SUM(I570:I576)</f>
        <v>0</v>
      </c>
    </row>
    <row r="578" ht="13.35" customHeight="true"/>
    <row r="579" ht="12.1" customHeight="true" customFormat="true" s="5">
      <c r="A579" s="8" t="s">
        <v>285</v>
      </c>
      <c r="B579" s="8"/>
      <c r="C579" s="8"/>
      <c r="D579" s="8"/>
      <c r="E579" s="8"/>
      <c r="F579" s="8"/>
      <c r="G579" s="8"/>
      <c r="H579" s="8"/>
      <c r="I579" s="8"/>
    </row>
    <row r="580" ht="10.95" customHeight="true" customFormat="true" s="9">
      <c r="A580" s="10" t="s">
        <v>13</v>
      </c>
      <c r="B580" s="10"/>
      <c r="C580" s="10"/>
      <c r="D580" s="10"/>
      <c r="E580" s="11">
        <v>0</v>
      </c>
      <c r="F580" s="11">
        <v>0</v>
      </c>
      <c r="G580" s="11">
        <f ca="1">(E580 - F580)</f>
        <v>0</v>
      </c>
      <c r="H580" s="11">
        <v>0</v>
      </c>
      <c r="I580" s="11">
        <v>0</v>
      </c>
    </row>
    <row r="581" ht="10.95" customHeight="true" customFormat="true" s="9">
      <c r="A581" s="12">
        <v>46250</v>
      </c>
      <c r="B581" s="13" t="s">
        <v>260</v>
      </c>
      <c r="C581" s="13" t="s">
        <v>276</v>
      </c>
      <c r="D581" s="13" t="s">
        <v>262</v>
      </c>
      <c r="E581" s="14">
        <v>750.0000</v>
      </c>
      <c r="F581" s="14">
        <v>0</v>
      </c>
      <c r="G581" s="14">
        <f ca="1">((G580 + E581) - F581)</f>
        <v>0</v>
      </c>
      <c r="H581" s="14">
        <v>825.0000</v>
      </c>
      <c r="I581" s="14">
        <v>75.0000</v>
      </c>
    </row>
    <row r="582" ht="10.95" customHeight="true" customFormat="true" s="9">
      <c r="A582" s="15">
        <v>46299</v>
      </c>
      <c r="B582" s="16" t="s">
        <v>14</v>
      </c>
      <c r="C582" s="16" t="s">
        <v>286</v>
      </c>
      <c r="D582" s="16" t="s">
        <v>65</v>
      </c>
      <c r="E582" s="17">
        <v>6300.0000</v>
      </c>
      <c r="F582" s="17">
        <v>0</v>
      </c>
      <c r="G582" s="17">
        <f ca="1">((G581 + E582) - F582)</f>
        <v>0</v>
      </c>
      <c r="H582" s="17">
        <v>6930.0000</v>
      </c>
      <c r="I582" s="17">
        <v>630.0000</v>
      </c>
    </row>
    <row r="583" ht="10.95" customHeight="true" customFormat="true" s="9">
      <c r="A583" s="18" t="s">
        <v>287</v>
      </c>
      <c r="B583" s="18"/>
      <c r="C583" s="18"/>
      <c r="D583" s="18"/>
      <c r="E583" s="19">
        <f ca="1">SUM(E581:E582)</f>
        <v>0</v>
      </c>
      <c r="F583" s="19">
        <f ca="1">SUM(F581:F582)</f>
        <v>0</v>
      </c>
      <c r="G583" s="19">
        <f ca="1">G582</f>
        <v>0</v>
      </c>
      <c r="H583" s="19">
        <f ca="1">SUM(H581:H582)</f>
        <v>0</v>
      </c>
      <c r="I583" s="19">
        <f ca="1">SUM(I581:I582)</f>
        <v>0</v>
      </c>
    </row>
    <row r="584" ht="10.95" customHeight="true" customFormat="true" s="9">
      <c r="A584" s="10" t="s">
        <v>83</v>
      </c>
      <c r="B584" s="10"/>
      <c r="C584" s="10"/>
      <c r="D584" s="10"/>
      <c r="E584" s="11">
        <v>7050.0000</v>
      </c>
      <c r="F584" s="11">
        <v>0</v>
      </c>
      <c r="G584" s="11">
        <f ca="1">G582</f>
        <v>0</v>
      </c>
      <c r="H584" s="11">
        <v>0</v>
      </c>
      <c r="I584" s="11">
        <v>0</v>
      </c>
    </row>
    <row r="585" ht="13.35" customHeight="true"/>
    <row r="586" ht="12.1" customHeight="true" customFormat="true" s="5">
      <c r="A586" s="20" t="s">
        <v>288</v>
      </c>
      <c r="B586" s="20"/>
      <c r="C586" s="20"/>
      <c r="D586" s="20"/>
      <c r="E586" s="20"/>
      <c r="F586" s="20"/>
      <c r="G586" s="20"/>
      <c r="H586" s="20"/>
      <c r="I586" s="20"/>
    </row>
    <row r="587" ht="10.95" customHeight="true" customFormat="true" s="9">
      <c r="A587" s="12">
        <v>45854</v>
      </c>
      <c r="B587" s="13" t="s">
        <v>14</v>
      </c>
      <c r="C587" s="13" t="s">
        <v>289</v>
      </c>
      <c r="D587" s="13"/>
      <c r="E587" s="14">
        <v>4000.0000</v>
      </c>
      <c r="F587" s="14">
        <v>0</v>
      </c>
      <c r="G587" s="14">
        <f ca="1">(E587 - F587)</f>
        <v>0</v>
      </c>
      <c r="H587" s="14">
        <v>4400.0000</v>
      </c>
      <c r="I587" s="14">
        <v>400.0000</v>
      </c>
    </row>
    <row r="588" ht="21.3" customHeight="true" customFormat="true" s="9">
      <c r="A588" s="15">
        <v>45916</v>
      </c>
      <c r="B588" s="16" t="s">
        <v>14</v>
      </c>
      <c r="C588" s="21" t="s">
        <v>290</v>
      </c>
      <c r="D588" s="16"/>
      <c r="E588" s="17">
        <v>4000.0000</v>
      </c>
      <c r="F588" s="17">
        <v>0</v>
      </c>
      <c r="G588" s="17">
        <f ca="1">((G587 + E588) - F588)</f>
        <v>0</v>
      </c>
      <c r="H588" s="17">
        <v>4400.0000</v>
      </c>
      <c r="I588" s="17">
        <v>400.0000</v>
      </c>
    </row>
    <row r="589" ht="10.95" customHeight="true" customFormat="true" s="9">
      <c r="A589" s="15">
        <v>46224</v>
      </c>
      <c r="B589" s="16" t="s">
        <v>162</v>
      </c>
      <c r="C589" s="16" t="s">
        <v>175</v>
      </c>
      <c r="D589" s="16"/>
      <c r="E589" s="17">
        <v>114.4500</v>
      </c>
      <c r="F589" s="17">
        <v>0</v>
      </c>
      <c r="G589" s="17">
        <f ca="1">((G588 + E589) - F589)</f>
        <v>0</v>
      </c>
      <c r="H589" s="17">
        <v>125.9000</v>
      </c>
      <c r="I589" s="17">
        <v>11.4500</v>
      </c>
    </row>
    <row r="590" ht="10.95" customHeight="true" customFormat="true" s="9">
      <c r="A590" s="15">
        <v>46226</v>
      </c>
      <c r="B590" s="16" t="s">
        <v>162</v>
      </c>
      <c r="C590" s="16" t="s">
        <v>177</v>
      </c>
      <c r="D590" s="16"/>
      <c r="E590" s="17">
        <v>59.2700</v>
      </c>
      <c r="F590" s="17">
        <v>0</v>
      </c>
      <c r="G590" s="17">
        <f ca="1">((G589 + E590) - F590)</f>
        <v>0</v>
      </c>
      <c r="H590" s="17">
        <v>65.2000</v>
      </c>
      <c r="I590" s="17">
        <v>5.9300</v>
      </c>
    </row>
    <row r="591" ht="10.95" customHeight="true" customFormat="true" s="9">
      <c r="A591" s="15">
        <v>46233</v>
      </c>
      <c r="B591" s="16" t="s">
        <v>14</v>
      </c>
      <c r="C591" s="16" t="s">
        <v>24</v>
      </c>
      <c r="D591" s="16"/>
      <c r="E591" s="17">
        <v>1085.0000</v>
      </c>
      <c r="F591" s="17">
        <v>0</v>
      </c>
      <c r="G591" s="17">
        <f ca="1">((G590 + E591) - F591)</f>
        <v>0</v>
      </c>
      <c r="H591" s="17">
        <v>1193.5000</v>
      </c>
      <c r="I591" s="17">
        <v>108.5000</v>
      </c>
    </row>
    <row r="592" ht="10.95" customHeight="true" customFormat="true" s="9">
      <c r="A592" s="15">
        <v>46234</v>
      </c>
      <c r="B592" s="16" t="s">
        <v>27</v>
      </c>
      <c r="C592" s="16" t="s">
        <v>24</v>
      </c>
      <c r="D592" s="16" t="s">
        <v>28</v>
      </c>
      <c r="E592" s="17">
        <v>0</v>
      </c>
      <c r="F592" s="17">
        <v>199.0000</v>
      </c>
      <c r="G592" s="17">
        <f ca="1">((G591 + E592) - F592)</f>
        <v>0</v>
      </c>
      <c r="H592" s="17">
        <v>-218.9000</v>
      </c>
      <c r="I592" s="17">
        <v>-19.9000</v>
      </c>
    </row>
    <row r="593" ht="10.95" customHeight="true" customFormat="true" s="9">
      <c r="A593" s="15">
        <v>46234</v>
      </c>
      <c r="B593" s="16" t="s">
        <v>162</v>
      </c>
      <c r="C593" s="16" t="s">
        <v>183</v>
      </c>
      <c r="D593" s="16"/>
      <c r="E593" s="17">
        <v>45.4500</v>
      </c>
      <c r="F593" s="17">
        <v>0</v>
      </c>
      <c r="G593" s="17">
        <f ca="1">((G592 + E593) - F593)</f>
        <v>0</v>
      </c>
      <c r="H593" s="17">
        <v>50.0000</v>
      </c>
      <c r="I593" s="17">
        <v>4.5500</v>
      </c>
    </row>
    <row r="594" ht="10.95" customHeight="true" customFormat="true" s="9">
      <c r="A594" s="15">
        <v>46238</v>
      </c>
      <c r="B594" s="16" t="s">
        <v>162</v>
      </c>
      <c r="C594" s="16" t="s">
        <v>177</v>
      </c>
      <c r="D594" s="16"/>
      <c r="E594" s="17">
        <v>16.8200</v>
      </c>
      <c r="F594" s="17">
        <v>0</v>
      </c>
      <c r="G594" s="17">
        <f ca="1">((G593 + E594) - F594)</f>
        <v>0</v>
      </c>
      <c r="H594" s="17">
        <v>18.5000</v>
      </c>
      <c r="I594" s="17">
        <v>1.6800</v>
      </c>
    </row>
    <row r="595" ht="10.95" customHeight="true" customFormat="true" s="9">
      <c r="A595" s="15">
        <v>46239</v>
      </c>
      <c r="B595" s="16" t="s">
        <v>14</v>
      </c>
      <c r="C595" s="16" t="s">
        <v>33</v>
      </c>
      <c r="D595" s="16"/>
      <c r="E595" s="17">
        <v>69.0000</v>
      </c>
      <c r="F595" s="17">
        <v>0</v>
      </c>
      <c r="G595" s="17">
        <f ca="1">((G594 + E595) - F595)</f>
        <v>0</v>
      </c>
      <c r="H595" s="17">
        <v>75.9000</v>
      </c>
      <c r="I595" s="17">
        <v>6.9000</v>
      </c>
    </row>
    <row r="596" ht="10.95" customHeight="true" customFormat="true" s="9">
      <c r="A596" s="15">
        <v>46252</v>
      </c>
      <c r="B596" s="16" t="s">
        <v>162</v>
      </c>
      <c r="C596" s="16" t="s">
        <v>177</v>
      </c>
      <c r="D596" s="16"/>
      <c r="E596" s="17">
        <v>40.9100</v>
      </c>
      <c r="F596" s="17">
        <v>0</v>
      </c>
      <c r="G596" s="17">
        <f ca="1">((G595 + E596) - F596)</f>
        <v>0</v>
      </c>
      <c r="H596" s="17">
        <v>45.0000</v>
      </c>
      <c r="I596" s="17">
        <v>4.0900</v>
      </c>
    </row>
    <row r="597" ht="10.95" customHeight="true" customFormat="true" s="9">
      <c r="A597" s="15">
        <v>46260</v>
      </c>
      <c r="B597" s="16" t="s">
        <v>14</v>
      </c>
      <c r="C597" s="16" t="s">
        <v>44</v>
      </c>
      <c r="D597" s="16"/>
      <c r="E597" s="17">
        <v>95.0000</v>
      </c>
      <c r="F597" s="17">
        <v>0</v>
      </c>
      <c r="G597" s="17">
        <f ca="1">((G596 + E597) - F597)</f>
        <v>0</v>
      </c>
      <c r="H597" s="17">
        <v>104.5000</v>
      </c>
      <c r="I597" s="17">
        <v>9.5000</v>
      </c>
    </row>
    <row r="598" ht="10.95" customHeight="true" customFormat="true" s="9">
      <c r="A598" s="15">
        <v>46270</v>
      </c>
      <c r="B598" s="16" t="s">
        <v>14</v>
      </c>
      <c r="C598" s="16" t="s">
        <v>33</v>
      </c>
      <c r="D598" s="16"/>
      <c r="E598" s="17">
        <v>69.0000</v>
      </c>
      <c r="F598" s="17">
        <v>0</v>
      </c>
      <c r="G598" s="17">
        <f ca="1">((G597 + E598) - F598)</f>
        <v>0</v>
      </c>
      <c r="H598" s="17">
        <v>75.9000</v>
      </c>
      <c r="I598" s="17">
        <v>6.9000</v>
      </c>
    </row>
    <row r="599" ht="10.95" customHeight="true" customFormat="true" s="9">
      <c r="A599" s="15">
        <v>46272</v>
      </c>
      <c r="B599" s="16" t="s">
        <v>162</v>
      </c>
      <c r="C599" s="16" t="s">
        <v>177</v>
      </c>
      <c r="D599" s="16"/>
      <c r="E599" s="17">
        <v>14.5400</v>
      </c>
      <c r="F599" s="17">
        <v>0</v>
      </c>
      <c r="G599" s="17">
        <f ca="1">((G598 + E599) - F599)</f>
        <v>0</v>
      </c>
      <c r="H599" s="17">
        <v>15.9900</v>
      </c>
      <c r="I599" s="17">
        <v>1.4500</v>
      </c>
    </row>
    <row r="600" ht="10.95" customHeight="true" customFormat="true" s="9">
      <c r="A600" s="15">
        <v>46296</v>
      </c>
      <c r="B600" s="16" t="s">
        <v>162</v>
      </c>
      <c r="C600" s="16" t="s">
        <v>291</v>
      </c>
      <c r="D600" s="16"/>
      <c r="E600" s="17">
        <v>5.4500</v>
      </c>
      <c r="F600" s="17">
        <v>0</v>
      </c>
      <c r="G600" s="17">
        <f ca="1">((G599 + E600) - F600)</f>
        <v>0</v>
      </c>
      <c r="H600" s="17">
        <v>6.0000</v>
      </c>
      <c r="I600" s="17">
        <v>0.5500</v>
      </c>
    </row>
    <row r="601" ht="10.95" customHeight="true" customFormat="true" s="9">
      <c r="A601" s="15">
        <v>46300</v>
      </c>
      <c r="B601" s="16" t="s">
        <v>162</v>
      </c>
      <c r="C601" s="16" t="s">
        <v>291</v>
      </c>
      <c r="D601" s="16"/>
      <c r="E601" s="17">
        <v>11.3600</v>
      </c>
      <c r="F601" s="17">
        <v>0</v>
      </c>
      <c r="G601" s="17">
        <f ca="1">((G600 + E601) - F601)</f>
        <v>0</v>
      </c>
      <c r="H601" s="17">
        <v>12.5000</v>
      </c>
      <c r="I601" s="17">
        <v>1.1400</v>
      </c>
    </row>
    <row r="602" ht="10.95" customHeight="true" customFormat="true" s="9">
      <c r="A602" s="15">
        <v>46301</v>
      </c>
      <c r="B602" s="16" t="s">
        <v>162</v>
      </c>
      <c r="C602" s="16" t="s">
        <v>177</v>
      </c>
      <c r="D602" s="16"/>
      <c r="E602" s="17">
        <v>15.6600</v>
      </c>
      <c r="F602" s="17">
        <v>0</v>
      </c>
      <c r="G602" s="17">
        <f ca="1">((G601 + E602) - F602)</f>
        <v>0</v>
      </c>
      <c r="H602" s="17">
        <v>17.2300</v>
      </c>
      <c r="I602" s="17">
        <v>1.5700</v>
      </c>
    </row>
    <row r="603" ht="10.95" customHeight="true" customFormat="true" s="9">
      <c r="A603" s="15">
        <v>46301</v>
      </c>
      <c r="B603" s="16" t="s">
        <v>162</v>
      </c>
      <c r="C603" s="16" t="s">
        <v>291</v>
      </c>
      <c r="D603" s="16"/>
      <c r="E603" s="17">
        <v>5.0000</v>
      </c>
      <c r="F603" s="17">
        <v>0</v>
      </c>
      <c r="G603" s="17">
        <f ca="1">((G602 + E603) - F603)</f>
        <v>0</v>
      </c>
      <c r="H603" s="17">
        <v>5.5000</v>
      </c>
      <c r="I603" s="17">
        <v>0.5000</v>
      </c>
    </row>
    <row r="604" ht="10.95" customHeight="true" customFormat="true" s="9">
      <c r="A604" s="15">
        <v>46301</v>
      </c>
      <c r="B604" s="16" t="s">
        <v>14</v>
      </c>
      <c r="C604" s="16" t="s">
        <v>33</v>
      </c>
      <c r="D604" s="16"/>
      <c r="E604" s="17">
        <v>69.0000</v>
      </c>
      <c r="F604" s="17">
        <v>0</v>
      </c>
      <c r="G604" s="17">
        <f ca="1">((G603 + E604) - F604)</f>
        <v>0</v>
      </c>
      <c r="H604" s="17">
        <v>75.9000</v>
      </c>
      <c r="I604" s="17">
        <v>6.9000</v>
      </c>
    </row>
    <row r="605" ht="10.95" customHeight="true" customFormat="true" s="9">
      <c r="A605" s="15">
        <v>46303</v>
      </c>
      <c r="B605" s="16" t="s">
        <v>162</v>
      </c>
      <c r="C605" s="16" t="s">
        <v>219</v>
      </c>
      <c r="D605" s="16"/>
      <c r="E605" s="17">
        <v>45.2700</v>
      </c>
      <c r="F605" s="17">
        <v>0</v>
      </c>
      <c r="G605" s="17">
        <f ca="1">((G604 + E605) - F605)</f>
        <v>0</v>
      </c>
      <c r="H605" s="17">
        <v>49.8000</v>
      </c>
      <c r="I605" s="17">
        <v>4.5300</v>
      </c>
    </row>
    <row r="606" ht="10.95" customHeight="true" customFormat="true" s="9">
      <c r="A606" s="15">
        <v>46304</v>
      </c>
      <c r="B606" s="16" t="s">
        <v>162</v>
      </c>
      <c r="C606" s="16" t="s">
        <v>291</v>
      </c>
      <c r="D606" s="16"/>
      <c r="E606" s="17">
        <v>3.6400</v>
      </c>
      <c r="F606" s="17">
        <v>0</v>
      </c>
      <c r="G606" s="17">
        <f ca="1">((G605 + E606) - F606)</f>
        <v>0</v>
      </c>
      <c r="H606" s="17">
        <v>4.0000</v>
      </c>
      <c r="I606" s="17">
        <v>0.3600</v>
      </c>
    </row>
    <row r="607" ht="10.95" customHeight="true" customFormat="true" s="9">
      <c r="A607" s="15">
        <v>46307</v>
      </c>
      <c r="B607" s="16" t="s">
        <v>162</v>
      </c>
      <c r="C607" s="16" t="s">
        <v>291</v>
      </c>
      <c r="D607" s="16"/>
      <c r="E607" s="17">
        <v>10.9100</v>
      </c>
      <c r="F607" s="17">
        <v>0</v>
      </c>
      <c r="G607" s="17">
        <f ca="1">((G606 + E607) - F607)</f>
        <v>0</v>
      </c>
      <c r="H607" s="17">
        <v>12.0000</v>
      </c>
      <c r="I607" s="17">
        <v>1.0900</v>
      </c>
    </row>
    <row r="608" ht="10.95" customHeight="true" customFormat="true" s="9">
      <c r="A608" s="15">
        <v>46308</v>
      </c>
      <c r="B608" s="16" t="s">
        <v>162</v>
      </c>
      <c r="C608" s="16" t="s">
        <v>291</v>
      </c>
      <c r="D608" s="16"/>
      <c r="E608" s="17">
        <v>7.2700</v>
      </c>
      <c r="F608" s="17">
        <v>0</v>
      </c>
      <c r="G608" s="17">
        <f ca="1">((G607 + E608) - F608)</f>
        <v>0</v>
      </c>
      <c r="H608" s="17">
        <v>8.0000</v>
      </c>
      <c r="I608" s="17">
        <v>0.7300</v>
      </c>
    </row>
    <row r="609" ht="10.95" customHeight="true" customFormat="true" s="9">
      <c r="A609" s="15">
        <v>46312</v>
      </c>
      <c r="B609" s="16" t="s">
        <v>162</v>
      </c>
      <c r="C609" s="16" t="s">
        <v>291</v>
      </c>
      <c r="D609" s="16"/>
      <c r="E609" s="17">
        <v>5.4500</v>
      </c>
      <c r="F609" s="17">
        <v>0</v>
      </c>
      <c r="G609" s="17">
        <f ca="1">((G608 + E609) - F609)</f>
        <v>0</v>
      </c>
      <c r="H609" s="17">
        <v>6.0000</v>
      </c>
      <c r="I609" s="17">
        <v>0.5500</v>
      </c>
    </row>
    <row r="610" ht="10.95" customHeight="true" customFormat="true" s="9">
      <c r="A610" s="18" t="s">
        <v>292</v>
      </c>
      <c r="B610" s="18"/>
      <c r="C610" s="18"/>
      <c r="D610" s="18"/>
      <c r="E610" s="19">
        <f ca="1">SUM(E587:E609)</f>
        <v>0</v>
      </c>
      <c r="F610" s="19">
        <f ca="1">SUM(F587:F609)</f>
        <v>0</v>
      </c>
      <c r="G610" s="19">
        <f ca="1">G609</f>
        <v>0</v>
      </c>
      <c r="H610" s="19">
        <f ca="1">SUM(H587:H609)</f>
        <v>0</v>
      </c>
      <c r="I610" s="19">
        <f ca="1">SUM(I587:I609)</f>
        <v>0</v>
      </c>
    </row>
    <row r="611" ht="13.35" customHeight="true"/>
    <row r="612" ht="12.1" customHeight="true" customFormat="true" s="5">
      <c r="A612" s="8" t="s">
        <v>293</v>
      </c>
      <c r="B612" s="8"/>
      <c r="C612" s="8"/>
      <c r="D612" s="8"/>
      <c r="E612" s="8"/>
      <c r="F612" s="8"/>
      <c r="G612" s="8"/>
      <c r="H612" s="8"/>
      <c r="I612" s="8"/>
    </row>
    <row r="613" ht="10.95" customHeight="true" customFormat="true" s="9">
      <c r="A613" s="10" t="s">
        <v>13</v>
      </c>
      <c r="B613" s="10"/>
      <c r="C613" s="10"/>
      <c r="D613" s="10"/>
      <c r="E613" s="11">
        <v>0</v>
      </c>
      <c r="F613" s="11">
        <v>0</v>
      </c>
      <c r="G613" s="11">
        <f ca="1">(F613 - E613)</f>
        <v>0</v>
      </c>
      <c r="H613" s="11">
        <v>0</v>
      </c>
      <c r="I613" s="11">
        <v>0</v>
      </c>
    </row>
    <row r="614" ht="10.95" customHeight="true" customFormat="true" s="9">
      <c r="A614" s="12">
        <v>46236</v>
      </c>
      <c r="B614" s="13" t="s">
        <v>162</v>
      </c>
      <c r="C614" s="13" t="s">
        <v>184</v>
      </c>
      <c r="D614" s="13" t="s">
        <v>185</v>
      </c>
      <c r="E614" s="14">
        <v>0</v>
      </c>
      <c r="F614" s="14">
        <v>540.0000</v>
      </c>
      <c r="G614" s="14">
        <f ca="1">((G613 + F614) - E614)</f>
        <v>0</v>
      </c>
      <c r="H614" s="14">
        <v>540.0000</v>
      </c>
      <c r="I614" s="14">
        <v>0</v>
      </c>
    </row>
    <row r="615" ht="10.95" customHeight="true" customFormat="true" s="9">
      <c r="A615" s="15">
        <v>46236</v>
      </c>
      <c r="B615" s="16" t="s">
        <v>162</v>
      </c>
      <c r="C615" s="16" t="s">
        <v>186</v>
      </c>
      <c r="D615" s="16" t="s">
        <v>185</v>
      </c>
      <c r="E615" s="17">
        <v>0</v>
      </c>
      <c r="F615" s="17">
        <v>562.0000</v>
      </c>
      <c r="G615" s="17">
        <f ca="1">((G614 + F615) - E615)</f>
        <v>0</v>
      </c>
      <c r="H615" s="17">
        <v>562.0000</v>
      </c>
      <c r="I615" s="17">
        <v>0</v>
      </c>
    </row>
    <row r="616" ht="10.95" customHeight="true" customFormat="true" s="9">
      <c r="A616" s="15">
        <v>46236</v>
      </c>
      <c r="B616" s="16" t="s">
        <v>162</v>
      </c>
      <c r="C616" s="16" t="s">
        <v>187</v>
      </c>
      <c r="D616" s="16" t="s">
        <v>185</v>
      </c>
      <c r="E616" s="17">
        <v>0</v>
      </c>
      <c r="F616" s="17">
        <v>405.0000</v>
      </c>
      <c r="G616" s="17">
        <f ca="1">((G615 + F616) - E616)</f>
        <v>0</v>
      </c>
      <c r="H616" s="17">
        <v>405.0000</v>
      </c>
      <c r="I616" s="17">
        <v>0</v>
      </c>
    </row>
    <row r="617" ht="10.95" customHeight="true" customFormat="true" s="9">
      <c r="A617" s="15">
        <v>46250</v>
      </c>
      <c r="B617" s="16" t="s">
        <v>162</v>
      </c>
      <c r="C617" s="16" t="s">
        <v>187</v>
      </c>
      <c r="D617" s="16" t="s">
        <v>185</v>
      </c>
      <c r="E617" s="17">
        <v>0</v>
      </c>
      <c r="F617" s="17">
        <v>405.0000</v>
      </c>
      <c r="G617" s="17">
        <f ca="1">((G616 + F617) - E617)</f>
        <v>0</v>
      </c>
      <c r="H617" s="17">
        <v>405.0000</v>
      </c>
      <c r="I617" s="17">
        <v>0</v>
      </c>
    </row>
    <row r="618" ht="10.95" customHeight="true" customFormat="true" s="9">
      <c r="A618" s="15">
        <v>46250</v>
      </c>
      <c r="B618" s="16" t="s">
        <v>162</v>
      </c>
      <c r="C618" s="16" t="s">
        <v>184</v>
      </c>
      <c r="D618" s="16" t="s">
        <v>185</v>
      </c>
      <c r="E618" s="17">
        <v>0</v>
      </c>
      <c r="F618" s="17">
        <v>540.0000</v>
      </c>
      <c r="G618" s="17">
        <f ca="1">((G617 + F618) - E618)</f>
        <v>0</v>
      </c>
      <c r="H618" s="17">
        <v>540.0000</v>
      </c>
      <c r="I618" s="17">
        <v>0</v>
      </c>
    </row>
    <row r="619" ht="10.95" customHeight="true" customFormat="true" s="9">
      <c r="A619" s="15">
        <v>46250</v>
      </c>
      <c r="B619" s="16" t="s">
        <v>162</v>
      </c>
      <c r="C619" s="16" t="s">
        <v>186</v>
      </c>
      <c r="D619" s="16" t="s">
        <v>185</v>
      </c>
      <c r="E619" s="17">
        <v>0</v>
      </c>
      <c r="F619" s="17">
        <v>562.0000</v>
      </c>
      <c r="G619" s="17">
        <f ca="1">((G618 + F619) - E619)</f>
        <v>0</v>
      </c>
      <c r="H619" s="17">
        <v>562.0000</v>
      </c>
      <c r="I619" s="17">
        <v>0</v>
      </c>
    </row>
    <row r="620" ht="10.95" customHeight="true" customFormat="true" s="9">
      <c r="A620" s="15">
        <v>46264</v>
      </c>
      <c r="B620" s="16" t="s">
        <v>162</v>
      </c>
      <c r="C620" s="16" t="s">
        <v>184</v>
      </c>
      <c r="D620" s="16"/>
      <c r="E620" s="17">
        <v>0</v>
      </c>
      <c r="F620" s="17">
        <v>540.0000</v>
      </c>
      <c r="G620" s="17">
        <f ca="1">((G619 + F620) - E620)</f>
        <v>0</v>
      </c>
      <c r="H620" s="17">
        <v>540.0000</v>
      </c>
      <c r="I620" s="17">
        <v>0</v>
      </c>
    </row>
    <row r="621" ht="10.95" customHeight="true" customFormat="true" s="9">
      <c r="A621" s="15">
        <v>46264</v>
      </c>
      <c r="B621" s="16" t="s">
        <v>162</v>
      </c>
      <c r="C621" s="16" t="s">
        <v>186</v>
      </c>
      <c r="D621" s="16"/>
      <c r="E621" s="17">
        <v>0</v>
      </c>
      <c r="F621" s="17">
        <v>562.0000</v>
      </c>
      <c r="G621" s="17">
        <f ca="1">((G620 + F621) - E621)</f>
        <v>0</v>
      </c>
      <c r="H621" s="17">
        <v>562.0000</v>
      </c>
      <c r="I621" s="17">
        <v>0</v>
      </c>
    </row>
    <row r="622" ht="10.95" customHeight="true" customFormat="true" s="9">
      <c r="A622" s="15">
        <v>46264</v>
      </c>
      <c r="B622" s="16" t="s">
        <v>162</v>
      </c>
      <c r="C622" s="16" t="s">
        <v>187</v>
      </c>
      <c r="D622" s="16"/>
      <c r="E622" s="17">
        <v>0</v>
      </c>
      <c r="F622" s="17">
        <v>405.0000</v>
      </c>
      <c r="G622" s="17">
        <f ca="1">((G621 + F622) - E622)</f>
        <v>0</v>
      </c>
      <c r="H622" s="17">
        <v>405.0000</v>
      </c>
      <c r="I622" s="17">
        <v>0</v>
      </c>
    </row>
    <row r="623" ht="10.95" customHeight="true" customFormat="true" s="9">
      <c r="A623" s="15">
        <v>46278</v>
      </c>
      <c r="B623" s="16" t="s">
        <v>162</v>
      </c>
      <c r="C623" s="16" t="s">
        <v>186</v>
      </c>
      <c r="D623" s="16" t="s">
        <v>185</v>
      </c>
      <c r="E623" s="17">
        <v>0</v>
      </c>
      <c r="F623" s="17">
        <v>562.0000</v>
      </c>
      <c r="G623" s="17">
        <f ca="1">((G622 + F623) - E623)</f>
        <v>0</v>
      </c>
      <c r="H623" s="17">
        <v>562.0000</v>
      </c>
      <c r="I623" s="17">
        <v>0</v>
      </c>
    </row>
    <row r="624" ht="10.95" customHeight="true" customFormat="true" s="9">
      <c r="A624" s="15">
        <v>46278</v>
      </c>
      <c r="B624" s="16" t="s">
        <v>162</v>
      </c>
      <c r="C624" s="16" t="s">
        <v>184</v>
      </c>
      <c r="D624" s="16" t="s">
        <v>185</v>
      </c>
      <c r="E624" s="17">
        <v>0</v>
      </c>
      <c r="F624" s="17">
        <v>540.0000</v>
      </c>
      <c r="G624" s="17">
        <f ca="1">((G623 + F624) - E624)</f>
        <v>0</v>
      </c>
      <c r="H624" s="17">
        <v>540.0000</v>
      </c>
      <c r="I624" s="17">
        <v>0</v>
      </c>
    </row>
    <row r="625" ht="10.95" customHeight="true" customFormat="true" s="9">
      <c r="A625" s="15">
        <v>46278</v>
      </c>
      <c r="B625" s="16" t="s">
        <v>162</v>
      </c>
      <c r="C625" s="16" t="s">
        <v>187</v>
      </c>
      <c r="D625" s="16" t="s">
        <v>185</v>
      </c>
      <c r="E625" s="17">
        <v>0</v>
      </c>
      <c r="F625" s="17">
        <v>405.0000</v>
      </c>
      <c r="G625" s="17">
        <f ca="1">((G624 + F625) - E625)</f>
        <v>0</v>
      </c>
      <c r="H625" s="17">
        <v>405.0000</v>
      </c>
      <c r="I625" s="17">
        <v>0</v>
      </c>
    </row>
    <row r="626" ht="10.95" customHeight="true" customFormat="true" s="9">
      <c r="A626" s="15">
        <v>46292</v>
      </c>
      <c r="B626" s="16" t="s">
        <v>162</v>
      </c>
      <c r="C626" s="16" t="s">
        <v>184</v>
      </c>
      <c r="D626" s="16" t="s">
        <v>185</v>
      </c>
      <c r="E626" s="17">
        <v>0</v>
      </c>
      <c r="F626" s="17">
        <v>540.0000</v>
      </c>
      <c r="G626" s="17">
        <f ca="1">((G625 + F626) - E626)</f>
        <v>0</v>
      </c>
      <c r="H626" s="17">
        <v>540.0000</v>
      </c>
      <c r="I626" s="17">
        <v>0</v>
      </c>
    </row>
    <row r="627" ht="10.95" customHeight="true" customFormat="true" s="9">
      <c r="A627" s="15">
        <v>46292</v>
      </c>
      <c r="B627" s="16" t="s">
        <v>162</v>
      </c>
      <c r="C627" s="16" t="s">
        <v>186</v>
      </c>
      <c r="D627" s="16" t="s">
        <v>185</v>
      </c>
      <c r="E627" s="17">
        <v>0</v>
      </c>
      <c r="F627" s="17">
        <v>562.0000</v>
      </c>
      <c r="G627" s="17">
        <f ca="1">((G626 + F627) - E627)</f>
        <v>0</v>
      </c>
      <c r="H627" s="17">
        <v>562.0000</v>
      </c>
      <c r="I627" s="17">
        <v>0</v>
      </c>
    </row>
    <row r="628" ht="10.95" customHeight="true" customFormat="true" s="9">
      <c r="A628" s="15">
        <v>46292</v>
      </c>
      <c r="B628" s="16" t="s">
        <v>162</v>
      </c>
      <c r="C628" s="16" t="s">
        <v>187</v>
      </c>
      <c r="D628" s="16" t="s">
        <v>185</v>
      </c>
      <c r="E628" s="17">
        <v>0</v>
      </c>
      <c r="F628" s="17">
        <v>405.0000</v>
      </c>
      <c r="G628" s="17">
        <f ca="1">((G627 + F628) - E628)</f>
        <v>0</v>
      </c>
      <c r="H628" s="17">
        <v>405.0000</v>
      </c>
      <c r="I628" s="17">
        <v>0</v>
      </c>
    </row>
    <row r="629" ht="10.95" customHeight="true" customFormat="true" s="9">
      <c r="A629" s="15">
        <v>46306</v>
      </c>
      <c r="B629" s="16" t="s">
        <v>162</v>
      </c>
      <c r="C629" s="16" t="s">
        <v>187</v>
      </c>
      <c r="D629" s="16" t="s">
        <v>185</v>
      </c>
      <c r="E629" s="17">
        <v>0</v>
      </c>
      <c r="F629" s="17">
        <v>405.0000</v>
      </c>
      <c r="G629" s="17">
        <f ca="1">((G628 + F629) - E629)</f>
        <v>0</v>
      </c>
      <c r="H629" s="17">
        <v>405.0000</v>
      </c>
      <c r="I629" s="17">
        <v>0</v>
      </c>
    </row>
    <row r="630" ht="10.95" customHeight="true" customFormat="true" s="9">
      <c r="A630" s="15">
        <v>46306</v>
      </c>
      <c r="B630" s="16" t="s">
        <v>162</v>
      </c>
      <c r="C630" s="16" t="s">
        <v>184</v>
      </c>
      <c r="D630" s="16" t="s">
        <v>185</v>
      </c>
      <c r="E630" s="17">
        <v>0</v>
      </c>
      <c r="F630" s="17">
        <v>540.0000</v>
      </c>
      <c r="G630" s="17">
        <f ca="1">((G629 + F630) - E630)</f>
        <v>0</v>
      </c>
      <c r="H630" s="17">
        <v>540.0000</v>
      </c>
      <c r="I630" s="17">
        <v>0</v>
      </c>
    </row>
    <row r="631" ht="10.95" customHeight="true" customFormat="true" s="9">
      <c r="A631" s="15">
        <v>46306</v>
      </c>
      <c r="B631" s="16" t="s">
        <v>162</v>
      </c>
      <c r="C631" s="16" t="s">
        <v>186</v>
      </c>
      <c r="D631" s="16" t="s">
        <v>185</v>
      </c>
      <c r="E631" s="17">
        <v>0</v>
      </c>
      <c r="F631" s="17">
        <v>562.0000</v>
      </c>
      <c r="G631" s="17">
        <f ca="1">((G630 + F631) - E631)</f>
        <v>0</v>
      </c>
      <c r="H631" s="17">
        <v>562.0000</v>
      </c>
      <c r="I631" s="17">
        <v>0</v>
      </c>
    </row>
    <row r="632" ht="10.95" customHeight="true" customFormat="true" s="9">
      <c r="A632" s="18" t="s">
        <v>294</v>
      </c>
      <c r="B632" s="18"/>
      <c r="C632" s="18"/>
      <c r="D632" s="18"/>
      <c r="E632" s="19">
        <f ca="1">SUM(E614:E631)</f>
        <v>0</v>
      </c>
      <c r="F632" s="19">
        <f ca="1">SUM(F614:F631)</f>
        <v>0</v>
      </c>
      <c r="G632" s="19">
        <f ca="1">G631</f>
        <v>0</v>
      </c>
      <c r="H632" s="19">
        <f ca="1">SUM(H614:H631)</f>
        <v>0</v>
      </c>
      <c r="I632" s="19">
        <f ca="1">SUM(I614:I631)</f>
        <v>0</v>
      </c>
    </row>
    <row r="633" ht="10.95" customHeight="true" customFormat="true" s="9">
      <c r="A633" s="10" t="s">
        <v>83</v>
      </c>
      <c r="B633" s="10"/>
      <c r="C633" s="10"/>
      <c r="D633" s="10"/>
      <c r="E633" s="11">
        <v>0</v>
      </c>
      <c r="F633" s="11">
        <v>9042.0000</v>
      </c>
      <c r="G633" s="11">
        <f ca="1">G631</f>
        <v>0</v>
      </c>
      <c r="H633" s="11">
        <v>0</v>
      </c>
      <c r="I633" s="11">
        <v>0</v>
      </c>
    </row>
    <row r="634" ht="13.35" customHeight="true"/>
    <row r="635" ht="12.1" customHeight="true" customFormat="true" s="5">
      <c r="A635" s="20" t="s">
        <v>295</v>
      </c>
      <c r="B635" s="20"/>
      <c r="C635" s="20"/>
      <c r="D635" s="20"/>
      <c r="E635" s="20"/>
      <c r="F635" s="20"/>
      <c r="G635" s="20"/>
      <c r="H635" s="20"/>
      <c r="I635" s="20"/>
    </row>
    <row r="636" ht="10.95" customHeight="true" customFormat="true" s="9">
      <c r="A636" s="12">
        <v>45854</v>
      </c>
      <c r="B636" s="13" t="s">
        <v>14</v>
      </c>
      <c r="C636" s="13" t="s">
        <v>296</v>
      </c>
      <c r="D636" s="13"/>
      <c r="E636" s="14">
        <v>256.0000</v>
      </c>
      <c r="F636" s="14">
        <v>0</v>
      </c>
      <c r="G636" s="14">
        <f ca="1">(E636 - F636)</f>
        <v>0</v>
      </c>
      <c r="H636" s="14">
        <v>281.6000</v>
      </c>
      <c r="I636" s="14">
        <v>25.6000</v>
      </c>
    </row>
    <row r="637" ht="10.95" customHeight="true" customFormat="true" s="9">
      <c r="A637" s="15">
        <v>45916</v>
      </c>
      <c r="B637" s="16" t="s">
        <v>14</v>
      </c>
      <c r="C637" s="16" t="s">
        <v>296</v>
      </c>
      <c r="D637" s="16"/>
      <c r="E637" s="17">
        <v>256.0000</v>
      </c>
      <c r="F637" s="17">
        <v>0</v>
      </c>
      <c r="G637" s="17">
        <f ca="1">((G636 + E637) - F637)</f>
        <v>0</v>
      </c>
      <c r="H637" s="17">
        <v>281.6000</v>
      </c>
      <c r="I637" s="17">
        <v>25.6000</v>
      </c>
    </row>
    <row r="638" ht="10.95" customHeight="true" customFormat="true" s="9">
      <c r="A638" s="15">
        <v>46257</v>
      </c>
      <c r="B638" s="16" t="s">
        <v>162</v>
      </c>
      <c r="C638" s="16" t="s">
        <v>175</v>
      </c>
      <c r="D638" s="16"/>
      <c r="E638" s="17">
        <v>35.9100</v>
      </c>
      <c r="F638" s="17">
        <v>0</v>
      </c>
      <c r="G638" s="17">
        <f ca="1">((G637 + E638) - F638)</f>
        <v>0</v>
      </c>
      <c r="H638" s="17">
        <v>39.5000</v>
      </c>
      <c r="I638" s="17">
        <v>3.5900</v>
      </c>
    </row>
    <row r="639" ht="10.95" customHeight="true" customFormat="true" s="9">
      <c r="A639" s="15">
        <v>46277</v>
      </c>
      <c r="B639" s="16" t="s">
        <v>162</v>
      </c>
      <c r="C639" s="16" t="s">
        <v>175</v>
      </c>
      <c r="D639" s="16"/>
      <c r="E639" s="17">
        <v>10.1800</v>
      </c>
      <c r="F639" s="17">
        <v>0</v>
      </c>
      <c r="G639" s="17">
        <f ca="1">((G638 + E639) - F639)</f>
        <v>0</v>
      </c>
      <c r="H639" s="17">
        <v>11.2000</v>
      </c>
      <c r="I639" s="17">
        <v>1.0200</v>
      </c>
    </row>
    <row r="640" ht="10.95" customHeight="true" customFormat="true" s="9">
      <c r="A640" s="15">
        <v>46296</v>
      </c>
      <c r="B640" s="16" t="s">
        <v>162</v>
      </c>
      <c r="C640" s="16" t="s">
        <v>214</v>
      </c>
      <c r="D640" s="16"/>
      <c r="E640" s="17">
        <v>19.9100</v>
      </c>
      <c r="F640" s="17">
        <v>0</v>
      </c>
      <c r="G640" s="17">
        <f ca="1">((G639 + E640) - F640)</f>
        <v>0</v>
      </c>
      <c r="H640" s="17">
        <v>21.9000</v>
      </c>
      <c r="I640" s="17">
        <v>1.9900</v>
      </c>
    </row>
    <row r="641" ht="10.95" customHeight="true" customFormat="true" s="9">
      <c r="A641" s="15">
        <v>46310</v>
      </c>
      <c r="B641" s="16" t="s">
        <v>162</v>
      </c>
      <c r="C641" s="16" t="s">
        <v>226</v>
      </c>
      <c r="D641" s="16"/>
      <c r="E641" s="17">
        <v>35.9100</v>
      </c>
      <c r="F641" s="17">
        <v>0</v>
      </c>
      <c r="G641" s="17">
        <f ca="1">((G640 + E641) - F641)</f>
        <v>0</v>
      </c>
      <c r="H641" s="17">
        <v>39.5000</v>
      </c>
      <c r="I641" s="17">
        <v>3.5900</v>
      </c>
    </row>
    <row r="642" ht="10.95" customHeight="true" customFormat="true" s="9">
      <c r="A642" s="15">
        <v>46311</v>
      </c>
      <c r="B642" s="16" t="s">
        <v>229</v>
      </c>
      <c r="C642" s="16" t="s">
        <v>226</v>
      </c>
      <c r="D642" s="16" t="s">
        <v>230</v>
      </c>
      <c r="E642" s="17">
        <v>0</v>
      </c>
      <c r="F642" s="17">
        <v>35.9100</v>
      </c>
      <c r="G642" s="17">
        <f ca="1">((G641 + E642) - F642)</f>
        <v>0</v>
      </c>
      <c r="H642" s="17">
        <v>-39.5000</v>
      </c>
      <c r="I642" s="17">
        <v>-3.5900</v>
      </c>
    </row>
    <row r="643" ht="10.95" customHeight="true" customFormat="true" s="9">
      <c r="A643" s="18" t="s">
        <v>297</v>
      </c>
      <c r="B643" s="18"/>
      <c r="C643" s="18"/>
      <c r="D643" s="18"/>
      <c r="E643" s="19">
        <f ca="1">SUM(E636:E642)</f>
        <v>0</v>
      </c>
      <c r="F643" s="19">
        <f ca="1">SUM(F636:F642)</f>
        <v>0</v>
      </c>
      <c r="G643" s="19">
        <f ca="1">G642</f>
        <v>0</v>
      </c>
      <c r="H643" s="19">
        <f ca="1">SUM(H636:H642)</f>
        <v>0</v>
      </c>
      <c r="I643" s="19">
        <f ca="1">SUM(I636:I642)</f>
        <v>0</v>
      </c>
    </row>
    <row r="644" ht="13.35" customHeight="true"/>
    <row r="645" ht="12.1" customHeight="true" customFormat="true" s="5">
      <c r="A645" s="20" t="s">
        <v>298</v>
      </c>
      <c r="B645" s="20"/>
      <c r="C645" s="20"/>
      <c r="D645" s="20"/>
      <c r="E645" s="20"/>
      <c r="F645" s="20"/>
      <c r="G645" s="20"/>
      <c r="H645" s="20"/>
      <c r="I645" s="20"/>
    </row>
    <row r="646" ht="10.95" customHeight="true" customFormat="true" s="9">
      <c r="A646" s="12">
        <v>46311</v>
      </c>
      <c r="B646" s="13" t="s">
        <v>14</v>
      </c>
      <c r="C646" s="13" t="s">
        <v>299</v>
      </c>
      <c r="D646" s="13" t="s">
        <v>77</v>
      </c>
      <c r="E646" s="14">
        <v>763.6400</v>
      </c>
      <c r="F646" s="14">
        <v>0</v>
      </c>
      <c r="G646" s="14">
        <f ca="1">(E646 - F646)</f>
        <v>0</v>
      </c>
      <c r="H646" s="14">
        <v>840.0000</v>
      </c>
      <c r="I646" s="14">
        <v>76.3600</v>
      </c>
    </row>
    <row r="647" ht="10.95" customHeight="true" customFormat="true" s="9">
      <c r="A647" s="18" t="s">
        <v>300</v>
      </c>
      <c r="B647" s="18"/>
      <c r="C647" s="18"/>
      <c r="D647" s="18"/>
      <c r="E647" s="19">
        <f ca="1">E646</f>
        <v>0</v>
      </c>
      <c r="F647" s="19">
        <f ca="1">F646</f>
        <v>0</v>
      </c>
      <c r="G647" s="19">
        <f ca="1">G646</f>
        <v>0</v>
      </c>
      <c r="H647" s="19">
        <f ca="1">H646</f>
        <v>0</v>
      </c>
      <c r="I647" s="19">
        <f ca="1">I646</f>
        <v>0</v>
      </c>
    </row>
    <row r="648" ht="13.35" customHeight="true"/>
    <row r="649" ht="12.1" customHeight="true" customFormat="true" s="5">
      <c r="A649" s="20" t="s">
        <v>301</v>
      </c>
      <c r="B649" s="20"/>
      <c r="C649" s="20"/>
      <c r="D649" s="20"/>
      <c r="E649" s="20"/>
      <c r="F649" s="20"/>
      <c r="G649" s="20"/>
      <c r="H649" s="20"/>
      <c r="I649" s="20"/>
    </row>
    <row r="650" ht="10.95" customHeight="true" customFormat="true" s="9">
      <c r="A650" s="12">
        <v>46224</v>
      </c>
      <c r="B650" s="13" t="s">
        <v>162</v>
      </c>
      <c r="C650" s="13" t="s">
        <v>176</v>
      </c>
      <c r="D650" s="13"/>
      <c r="E650" s="14">
        <v>1500.0000</v>
      </c>
      <c r="F650" s="14">
        <v>0</v>
      </c>
      <c r="G650" s="14">
        <f ca="1">(E650 - F650)</f>
        <v>0</v>
      </c>
      <c r="H650" s="14">
        <v>1650.0000</v>
      </c>
      <c r="I650" s="14">
        <v>150.0000</v>
      </c>
    </row>
    <row r="651" ht="10.95" customHeight="true" customFormat="true" s="9">
      <c r="A651" s="15">
        <v>46255</v>
      </c>
      <c r="B651" s="16" t="s">
        <v>162</v>
      </c>
      <c r="C651" s="16" t="s">
        <v>176</v>
      </c>
      <c r="D651" s="16"/>
      <c r="E651" s="17">
        <v>1500.0000</v>
      </c>
      <c r="F651" s="17">
        <v>0</v>
      </c>
      <c r="G651" s="17">
        <f ca="1">((G650 + E651) - F651)</f>
        <v>0</v>
      </c>
      <c r="H651" s="17">
        <v>1650.0000</v>
      </c>
      <c r="I651" s="17">
        <v>150.0000</v>
      </c>
    </row>
    <row r="652" ht="10.95" customHeight="true" customFormat="true" s="9">
      <c r="A652" s="15">
        <v>46286</v>
      </c>
      <c r="B652" s="16" t="s">
        <v>162</v>
      </c>
      <c r="C652" s="16" t="s">
        <v>176</v>
      </c>
      <c r="D652" s="16"/>
      <c r="E652" s="17">
        <v>1500.0000</v>
      </c>
      <c r="F652" s="17">
        <v>0</v>
      </c>
      <c r="G652" s="17">
        <f ca="1">((G651 + E652) - F652)</f>
        <v>0</v>
      </c>
      <c r="H652" s="17">
        <v>1650.0000</v>
      </c>
      <c r="I652" s="17">
        <v>150.0000</v>
      </c>
    </row>
    <row r="653" ht="10.95" customHeight="true" customFormat="true" s="9">
      <c r="A653" s="15">
        <v>46296</v>
      </c>
      <c r="B653" s="16" t="s">
        <v>14</v>
      </c>
      <c r="C653" s="16" t="s">
        <v>302</v>
      </c>
      <c r="D653" s="16" t="s">
        <v>62</v>
      </c>
      <c r="E653" s="17">
        <v>1073.8600</v>
      </c>
      <c r="F653" s="17">
        <v>0</v>
      </c>
      <c r="G653" s="17">
        <f ca="1">((G652 + E653) - F653)</f>
        <v>0</v>
      </c>
      <c r="H653" s="17">
        <v>1181.2500</v>
      </c>
      <c r="I653" s="17">
        <v>107.3900</v>
      </c>
    </row>
    <row r="654" ht="10.95" customHeight="true" customFormat="true" s="9">
      <c r="A654" s="18" t="s">
        <v>303</v>
      </c>
      <c r="B654" s="18"/>
      <c r="C654" s="18"/>
      <c r="D654" s="18"/>
      <c r="E654" s="19">
        <f ca="1">SUM(E650:E653)</f>
        <v>0</v>
      </c>
      <c r="F654" s="19">
        <f ca="1">SUM(F650:F653)</f>
        <v>0</v>
      </c>
      <c r="G654" s="19">
        <f ca="1">G653</f>
        <v>0</v>
      </c>
      <c r="H654" s="19">
        <f ca="1">SUM(H650:H653)</f>
        <v>0</v>
      </c>
      <c r="I654" s="19">
        <f ca="1">SUM(I650:I653)</f>
        <v>0</v>
      </c>
    </row>
    <row r="655" ht="13.35" customHeight="true"/>
    <row r="656" ht="12.1" customHeight="true" customFormat="true" s="5">
      <c r="A656" s="8" t="s">
        <v>304</v>
      </c>
      <c r="B656" s="8"/>
      <c r="C656" s="8"/>
      <c r="D656" s="8"/>
      <c r="E656" s="8"/>
      <c r="F656" s="8"/>
      <c r="G656" s="8"/>
      <c r="H656" s="8"/>
      <c r="I656" s="8"/>
    </row>
    <row r="657" ht="10.95" customHeight="true" customFormat="true" s="9">
      <c r="A657" s="10" t="s">
        <v>13</v>
      </c>
      <c r="B657" s="10"/>
      <c r="C657" s="10"/>
      <c r="D657" s="10"/>
      <c r="E657" s="11">
        <v>0</v>
      </c>
      <c r="F657" s="11">
        <v>0</v>
      </c>
      <c r="G657" s="11">
        <f ca="1">(F657 - E657)</f>
        <v>0</v>
      </c>
      <c r="H657" s="11">
        <v>0</v>
      </c>
      <c r="I657" s="11">
        <v>0</v>
      </c>
    </row>
    <row r="658" ht="10.95" customHeight="true" customFormat="true" s="9">
      <c r="A658" s="12">
        <v>45473</v>
      </c>
      <c r="B658" s="13" t="s">
        <v>305</v>
      </c>
      <c r="C658" s="13" t="s">
        <v>306</v>
      </c>
      <c r="D658" s="13"/>
      <c r="E658" s="14">
        <v>0</v>
      </c>
      <c r="F658" s="14">
        <v>0</v>
      </c>
      <c r="G658" s="14">
        <f ca="1">((G657 + F658) - E658)</f>
        <v>0</v>
      </c>
      <c r="H658" s="14">
        <v>0</v>
      </c>
      <c r="I658" s="14">
        <v>0</v>
      </c>
    </row>
    <row r="659" ht="10.95" customHeight="true" customFormat="true" s="9">
      <c r="A659" s="15">
        <v>45838</v>
      </c>
      <c r="B659" s="16" t="s">
        <v>305</v>
      </c>
      <c r="C659" s="16" t="s">
        <v>306</v>
      </c>
      <c r="D659" s="16"/>
      <c r="E659" s="17">
        <v>0</v>
      </c>
      <c r="F659" s="17">
        <v>0</v>
      </c>
      <c r="G659" s="17">
        <f ca="1">((G658 + F659) - E659)</f>
        <v>0</v>
      </c>
      <c r="H659" s="17">
        <v>0</v>
      </c>
      <c r="I659" s="17">
        <v>0</v>
      </c>
    </row>
    <row r="660" ht="10.95" customHeight="true" customFormat="true" s="9">
      <c r="A660" s="15">
        <v>46203</v>
      </c>
      <c r="B660" s="16" t="s">
        <v>305</v>
      </c>
      <c r="C660" s="16" t="s">
        <v>307</v>
      </c>
      <c r="D660" s="16"/>
      <c r="E660" s="17">
        <v>7912.0000</v>
      </c>
      <c r="F660" s="17">
        <v>0</v>
      </c>
      <c r="G660" s="17">
        <f ca="1">((G659 + F660) - E660)</f>
        <v>0</v>
      </c>
      <c r="H660" s="17">
        <v>-7912.0000</v>
      </c>
      <c r="I660" s="17">
        <v>0</v>
      </c>
    </row>
    <row r="661" ht="10.95" customHeight="true" customFormat="true" s="9">
      <c r="A661" s="15">
        <v>46568</v>
      </c>
      <c r="B661" s="16" t="s">
        <v>305</v>
      </c>
      <c r="C661" s="16" t="s">
        <v>307</v>
      </c>
      <c r="D661" s="16"/>
      <c r="E661" s="17">
        <v>2837.5400</v>
      </c>
      <c r="F661" s="17">
        <v>0</v>
      </c>
      <c r="G661" s="17">
        <f ca="1">((G660 + F661) - E661)</f>
        <v>0</v>
      </c>
      <c r="H661" s="17">
        <v>-2837.5400</v>
      </c>
      <c r="I661" s="17">
        <v>0</v>
      </c>
    </row>
    <row r="662" ht="10.95" customHeight="true" customFormat="true" s="9">
      <c r="A662" s="18" t="s">
        <v>308</v>
      </c>
      <c r="B662" s="18"/>
      <c r="C662" s="18"/>
      <c r="D662" s="18"/>
      <c r="E662" s="19">
        <f ca="1">SUM(E658:E661)</f>
        <v>0</v>
      </c>
      <c r="F662" s="19">
        <f ca="1">SUM(F658:F661)</f>
        <v>0</v>
      </c>
      <c r="G662" s="19">
        <f ca="1">G661</f>
        <v>0</v>
      </c>
      <c r="H662" s="19">
        <f ca="1">SUM(H658:H661)</f>
        <v>0</v>
      </c>
      <c r="I662" s="19">
        <f ca="1">SUM(I658:I661)</f>
        <v>0</v>
      </c>
    </row>
    <row r="663" ht="10.95" customHeight="true" customFormat="true" s="9">
      <c r="A663" s="10" t="s">
        <v>83</v>
      </c>
      <c r="B663" s="10"/>
      <c r="C663" s="10"/>
      <c r="D663" s="10"/>
      <c r="E663" s="11">
        <v>10749.5400</v>
      </c>
      <c r="F663" s="11">
        <v>0</v>
      </c>
      <c r="G663" s="11">
        <f ca="1">G661</f>
        <v>0</v>
      </c>
      <c r="H663" s="11">
        <v>0</v>
      </c>
      <c r="I663" s="11">
        <v>0</v>
      </c>
    </row>
    <row r="664" ht="13.35" customHeight="true"/>
    <row r="665" ht="12.1" customHeight="true" customFormat="true" s="5">
      <c r="A665" s="8" t="s">
        <v>309</v>
      </c>
      <c r="B665" s="8"/>
      <c r="C665" s="8"/>
      <c r="D665" s="8"/>
      <c r="E665" s="8"/>
      <c r="F665" s="8"/>
      <c r="G665" s="8"/>
      <c r="H665" s="8"/>
      <c r="I665" s="8"/>
    </row>
    <row r="666" ht="10.95" customHeight="true" customFormat="true" s="9">
      <c r="A666" s="10" t="s">
        <v>13</v>
      </c>
      <c r="B666" s="10"/>
      <c r="C666" s="10"/>
      <c r="D666" s="10"/>
      <c r="E666" s="11">
        <v>0</v>
      </c>
      <c r="F666" s="11">
        <v>0</v>
      </c>
      <c r="G666" s="11">
        <f ca="1">(F666 - E666)</f>
        <v>0</v>
      </c>
      <c r="H666" s="11">
        <v>0</v>
      </c>
      <c r="I666" s="11">
        <v>0</v>
      </c>
    </row>
    <row r="667" ht="10.95" customHeight="true" customFormat="true" s="9">
      <c r="A667" s="12">
        <v>46267</v>
      </c>
      <c r="B667" s="13" t="s">
        <v>200</v>
      </c>
      <c r="C667" s="13" t="s">
        <v>201</v>
      </c>
      <c r="D667" s="13"/>
      <c r="E667" s="14">
        <v>0.0900</v>
      </c>
      <c r="F667" s="14">
        <v>0</v>
      </c>
      <c r="G667" s="14">
        <f ca="1">((G666 + F667) - E667)</f>
        <v>0</v>
      </c>
      <c r="H667" s="14">
        <v>-0.0900</v>
      </c>
      <c r="I667" s="14">
        <v>0</v>
      </c>
    </row>
    <row r="668" ht="10.95" customHeight="true" customFormat="true" s="9">
      <c r="A668" s="18" t="s">
        <v>310</v>
      </c>
      <c r="B668" s="18"/>
      <c r="C668" s="18"/>
      <c r="D668" s="18"/>
      <c r="E668" s="19">
        <f ca="1">E667</f>
        <v>0</v>
      </c>
      <c r="F668" s="19">
        <f ca="1">F667</f>
        <v>0</v>
      </c>
      <c r="G668" s="19">
        <f ca="1">G667</f>
        <v>0</v>
      </c>
      <c r="H668" s="19">
        <f ca="1">H667</f>
        <v>0</v>
      </c>
      <c r="I668" s="19">
        <f ca="1">I667</f>
        <v>0</v>
      </c>
    </row>
    <row r="669" ht="10.95" customHeight="true" customFormat="true" s="9">
      <c r="A669" s="10" t="s">
        <v>83</v>
      </c>
      <c r="B669" s="10"/>
      <c r="C669" s="10"/>
      <c r="D669" s="10"/>
      <c r="E669" s="11">
        <v>0.0900</v>
      </c>
      <c r="F669" s="11">
        <v>0</v>
      </c>
      <c r="G669" s="11">
        <f ca="1">G667</f>
        <v>0</v>
      </c>
      <c r="H669" s="11">
        <v>0</v>
      </c>
      <c r="I669" s="11">
        <v>0</v>
      </c>
    </row>
    <row r="670" ht="13.35" customHeight="true"/>
    <row r="671" ht="12.1" customHeight="true" customFormat="true" s="5">
      <c r="A671" s="20" t="s">
        <v>311</v>
      </c>
      <c r="B671" s="20"/>
      <c r="C671" s="20"/>
      <c r="D671" s="20"/>
      <c r="E671" s="20"/>
      <c r="F671" s="20"/>
      <c r="G671" s="20"/>
      <c r="H671" s="20"/>
      <c r="I671" s="20"/>
    </row>
    <row r="672" ht="10.95" customHeight="true" customFormat="true" s="9">
      <c r="A672" s="12">
        <v>45885</v>
      </c>
      <c r="B672" s="13" t="s">
        <v>85</v>
      </c>
      <c r="C672" s="13" t="s">
        <v>312</v>
      </c>
      <c r="D672" s="13" t="s">
        <v>87</v>
      </c>
      <c r="E672" s="14">
        <v>0</v>
      </c>
      <c r="F672" s="14">
        <v>4200.0000</v>
      </c>
      <c r="G672" s="14">
        <f ca="1">(F672 - E672)</f>
        <v>0</v>
      </c>
      <c r="H672" s="14">
        <v>4620.0000</v>
      </c>
      <c r="I672" s="14">
        <v>420.0000</v>
      </c>
    </row>
    <row r="673" ht="10.95" customHeight="true" customFormat="true" s="9">
      <c r="A673" s="15">
        <v>46220</v>
      </c>
      <c r="B673" s="16" t="s">
        <v>85</v>
      </c>
      <c r="C673" s="16" t="s">
        <v>92</v>
      </c>
      <c r="D673" s="16" t="s">
        <v>91</v>
      </c>
      <c r="E673" s="17">
        <v>0</v>
      </c>
      <c r="F673" s="17">
        <v>500.0000</v>
      </c>
      <c r="G673" s="17">
        <f ca="1">((G672 + F673) - E673)</f>
        <v>0</v>
      </c>
      <c r="H673" s="17">
        <v>550.0000</v>
      </c>
      <c r="I673" s="17">
        <v>50.0000</v>
      </c>
    </row>
    <row r="674" ht="10.95" customHeight="true" customFormat="true" s="9">
      <c r="A674" s="15">
        <v>46220</v>
      </c>
      <c r="B674" s="16" t="s">
        <v>85</v>
      </c>
      <c r="C674" s="16" t="s">
        <v>93</v>
      </c>
      <c r="D674" s="16" t="s">
        <v>94</v>
      </c>
      <c r="E674" s="17">
        <v>0</v>
      </c>
      <c r="F674" s="17">
        <v>500.0000</v>
      </c>
      <c r="G674" s="17">
        <f ca="1">((G673 + F674) - E674)</f>
        <v>0</v>
      </c>
      <c r="H674" s="17">
        <v>550.0000</v>
      </c>
      <c r="I674" s="17">
        <v>50.0000</v>
      </c>
    </row>
    <row r="675" ht="10.95" customHeight="true" customFormat="true" s="9">
      <c r="A675" s="15">
        <v>46220</v>
      </c>
      <c r="B675" s="16" t="s">
        <v>85</v>
      </c>
      <c r="C675" s="16" t="s">
        <v>95</v>
      </c>
      <c r="D675" s="16" t="s">
        <v>91</v>
      </c>
      <c r="E675" s="17">
        <v>0</v>
      </c>
      <c r="F675" s="17">
        <v>500.0000</v>
      </c>
      <c r="G675" s="17">
        <f ca="1">((G674 + F675) - E675)</f>
        <v>0</v>
      </c>
      <c r="H675" s="17">
        <v>550.0000</v>
      </c>
      <c r="I675" s="17">
        <v>50.0000</v>
      </c>
    </row>
    <row r="676" ht="10.95" customHeight="true" customFormat="true" s="9">
      <c r="A676" s="15">
        <v>46220</v>
      </c>
      <c r="B676" s="16" t="s">
        <v>85</v>
      </c>
      <c r="C676" s="16" t="s">
        <v>93</v>
      </c>
      <c r="D676" s="16" t="s">
        <v>91</v>
      </c>
      <c r="E676" s="17">
        <v>0</v>
      </c>
      <c r="F676" s="17">
        <v>500.0000</v>
      </c>
      <c r="G676" s="17">
        <f ca="1">((G675 + F676) - E676)</f>
        <v>0</v>
      </c>
      <c r="H676" s="17">
        <v>550.0000</v>
      </c>
      <c r="I676" s="17">
        <v>50.0000</v>
      </c>
    </row>
    <row r="677" ht="10.95" customHeight="true" customFormat="true" s="9">
      <c r="A677" s="15">
        <v>46220</v>
      </c>
      <c r="B677" s="16" t="s">
        <v>85</v>
      </c>
      <c r="C677" s="16" t="s">
        <v>90</v>
      </c>
      <c r="D677" s="16" t="s">
        <v>91</v>
      </c>
      <c r="E677" s="17">
        <v>0</v>
      </c>
      <c r="F677" s="17">
        <v>500.0000</v>
      </c>
      <c r="G677" s="17">
        <f ca="1">((G676 + F677) - E677)</f>
        <v>0</v>
      </c>
      <c r="H677" s="17">
        <v>550.0000</v>
      </c>
      <c r="I677" s="17">
        <v>50.0000</v>
      </c>
    </row>
    <row r="678" ht="10.95" customHeight="true" customFormat="true" s="9">
      <c r="A678" s="15">
        <v>46226</v>
      </c>
      <c r="B678" s="16" t="s">
        <v>85</v>
      </c>
      <c r="C678" s="16" t="s">
        <v>96</v>
      </c>
      <c r="D678" s="16" t="s">
        <v>97</v>
      </c>
      <c r="E678" s="17">
        <v>0</v>
      </c>
      <c r="F678" s="17">
        <v>450.0000</v>
      </c>
      <c r="G678" s="17">
        <f ca="1">((G677 + F678) - E678)</f>
        <v>0</v>
      </c>
      <c r="H678" s="17">
        <v>495.0000</v>
      </c>
      <c r="I678" s="17">
        <v>45.0000</v>
      </c>
    </row>
    <row r="679" ht="10.95" customHeight="true" customFormat="true" s="9">
      <c r="A679" s="15">
        <v>46226</v>
      </c>
      <c r="B679" s="16" t="s">
        <v>85</v>
      </c>
      <c r="C679" s="16" t="s">
        <v>96</v>
      </c>
      <c r="D679" s="16" t="s">
        <v>97</v>
      </c>
      <c r="E679" s="17">
        <v>0</v>
      </c>
      <c r="F679" s="17">
        <v>450.0000</v>
      </c>
      <c r="G679" s="17">
        <f ca="1">((G678 + F679) - E679)</f>
        <v>0</v>
      </c>
      <c r="H679" s="17">
        <v>495.0000</v>
      </c>
      <c r="I679" s="17">
        <v>45.0000</v>
      </c>
    </row>
    <row r="680" ht="10.95" customHeight="true" customFormat="true" s="9">
      <c r="A680" s="15">
        <v>46226</v>
      </c>
      <c r="B680" s="16" t="s">
        <v>85</v>
      </c>
      <c r="C680" s="16" t="s">
        <v>96</v>
      </c>
      <c r="D680" s="16" t="s">
        <v>97</v>
      </c>
      <c r="E680" s="17">
        <v>0</v>
      </c>
      <c r="F680" s="17">
        <v>450.0000</v>
      </c>
      <c r="G680" s="17">
        <f ca="1">((G679 + F680) - E680)</f>
        <v>0</v>
      </c>
      <c r="H680" s="17">
        <v>495.0000</v>
      </c>
      <c r="I680" s="17">
        <v>45.0000</v>
      </c>
    </row>
    <row r="681" ht="10.95" customHeight="true" customFormat="true" s="9">
      <c r="A681" s="15">
        <v>46229</v>
      </c>
      <c r="B681" s="16" t="s">
        <v>98</v>
      </c>
      <c r="C681" s="16" t="s">
        <v>93</v>
      </c>
      <c r="D681" s="16" t="s">
        <v>99</v>
      </c>
      <c r="E681" s="17">
        <v>500.0000</v>
      </c>
      <c r="F681" s="17">
        <v>0</v>
      </c>
      <c r="G681" s="17">
        <f ca="1">((G680 + F681) - E681)</f>
        <v>0</v>
      </c>
      <c r="H681" s="17">
        <v>-550.0000</v>
      </c>
      <c r="I681" s="17">
        <v>-50.0000</v>
      </c>
    </row>
    <row r="682" ht="10.95" customHeight="true" customFormat="true" s="9">
      <c r="A682" s="15">
        <v>46229</v>
      </c>
      <c r="B682" s="16" t="s">
        <v>85</v>
      </c>
      <c r="C682" s="16" t="s">
        <v>313</v>
      </c>
      <c r="D682" s="16" t="s">
        <v>102</v>
      </c>
      <c r="E682" s="17">
        <v>0</v>
      </c>
      <c r="F682" s="17">
        <v>1000.0000</v>
      </c>
      <c r="G682" s="17">
        <f ca="1">((G681 + F682) - E682)</f>
        <v>0</v>
      </c>
      <c r="H682" s="17">
        <v>1100.0000</v>
      </c>
      <c r="I682" s="17">
        <v>100.0000</v>
      </c>
    </row>
    <row r="683" ht="10.95" customHeight="true" customFormat="true" s="9">
      <c r="A683" s="15">
        <v>46233</v>
      </c>
      <c r="B683" s="16" t="s">
        <v>85</v>
      </c>
      <c r="C683" s="16" t="s">
        <v>107</v>
      </c>
      <c r="D683" s="16" t="s">
        <v>108</v>
      </c>
      <c r="E683" s="17">
        <v>0</v>
      </c>
      <c r="F683" s="17">
        <v>250.0000</v>
      </c>
      <c r="G683" s="17">
        <f ca="1">((G682 + F683) - E683)</f>
        <v>0</v>
      </c>
      <c r="H683" s="17">
        <v>275.0000</v>
      </c>
      <c r="I683" s="17">
        <v>25.0000</v>
      </c>
    </row>
    <row r="684" ht="10.95" customHeight="true" customFormat="true" s="9">
      <c r="A684" s="15">
        <v>46234</v>
      </c>
      <c r="B684" s="16" t="s">
        <v>98</v>
      </c>
      <c r="C684" s="16" t="s">
        <v>96</v>
      </c>
      <c r="D684" s="16" t="s">
        <v>109</v>
      </c>
      <c r="E684" s="17">
        <v>500.0000</v>
      </c>
      <c r="F684" s="17">
        <v>0</v>
      </c>
      <c r="G684" s="17">
        <f ca="1">((G683 + F684) - E684)</f>
        <v>0</v>
      </c>
      <c r="H684" s="17">
        <v>-550.0000</v>
      </c>
      <c r="I684" s="17">
        <v>-50.0000</v>
      </c>
    </row>
    <row r="685" ht="10.95" customHeight="true" customFormat="true" s="9">
      <c r="A685" s="15">
        <v>46234</v>
      </c>
      <c r="B685" s="16" t="s">
        <v>85</v>
      </c>
      <c r="C685" s="16" t="s">
        <v>96</v>
      </c>
      <c r="D685" s="16" t="s">
        <v>110</v>
      </c>
      <c r="E685" s="17">
        <v>0</v>
      </c>
      <c r="F685" s="17">
        <v>500.0000</v>
      </c>
      <c r="G685" s="17">
        <f ca="1">((G684 + F685) - E685)</f>
        <v>0</v>
      </c>
      <c r="H685" s="17">
        <v>550.0000</v>
      </c>
      <c r="I685" s="17">
        <v>50.0000</v>
      </c>
    </row>
    <row r="686" ht="10.95" customHeight="true" customFormat="true" s="9">
      <c r="A686" s="15">
        <v>46239</v>
      </c>
      <c r="B686" s="16" t="s">
        <v>85</v>
      </c>
      <c r="C686" s="16" t="s">
        <v>111</v>
      </c>
      <c r="D686" s="16" t="s">
        <v>112</v>
      </c>
      <c r="E686" s="17">
        <v>0</v>
      </c>
      <c r="F686" s="17">
        <v>5600.0000</v>
      </c>
      <c r="G686" s="17">
        <f ca="1">((G685 + F686) - E686)</f>
        <v>0</v>
      </c>
      <c r="H686" s="17">
        <v>6160.0000</v>
      </c>
      <c r="I686" s="17">
        <v>560.0000</v>
      </c>
    </row>
    <row r="687" ht="10.95" customHeight="true" customFormat="true" s="9">
      <c r="A687" s="15">
        <v>46239</v>
      </c>
      <c r="B687" s="16" t="s">
        <v>85</v>
      </c>
      <c r="C687" s="16" t="s">
        <v>115</v>
      </c>
      <c r="D687" s="16" t="s">
        <v>116</v>
      </c>
      <c r="E687" s="17">
        <v>0</v>
      </c>
      <c r="F687" s="17">
        <v>1050.0000</v>
      </c>
      <c r="G687" s="17">
        <f ca="1">((G686 + F687) - E687)</f>
        <v>0</v>
      </c>
      <c r="H687" s="17">
        <v>1155.0000</v>
      </c>
      <c r="I687" s="17">
        <v>105.0000</v>
      </c>
    </row>
    <row r="688" ht="10.95" customHeight="true" customFormat="true" s="9">
      <c r="A688" s="15">
        <v>46239</v>
      </c>
      <c r="B688" s="16" t="s">
        <v>85</v>
      </c>
      <c r="C688" s="16" t="s">
        <v>15</v>
      </c>
      <c r="D688" s="16" t="s">
        <v>117</v>
      </c>
      <c r="E688" s="17">
        <v>0</v>
      </c>
      <c r="F688" s="17">
        <v>1360.0000</v>
      </c>
      <c r="G688" s="17">
        <f ca="1">((G687 + F688) - E688)</f>
        <v>0</v>
      </c>
      <c r="H688" s="17">
        <v>1496.0000</v>
      </c>
      <c r="I688" s="17">
        <v>136.0000</v>
      </c>
    </row>
    <row r="689" ht="10.95" customHeight="true" customFormat="true" s="9">
      <c r="A689" s="15">
        <v>46249</v>
      </c>
      <c r="B689" s="16" t="s">
        <v>98</v>
      </c>
      <c r="C689" s="16" t="s">
        <v>15</v>
      </c>
      <c r="D689" s="16" t="s">
        <v>117</v>
      </c>
      <c r="E689" s="17">
        <v>24.0000</v>
      </c>
      <c r="F689" s="17">
        <v>0</v>
      </c>
      <c r="G689" s="17">
        <f ca="1">((G688 + F689) - E689)</f>
        <v>0</v>
      </c>
      <c r="H689" s="17">
        <v>-26.4000</v>
      </c>
      <c r="I689" s="17">
        <v>-2.4000</v>
      </c>
    </row>
    <row r="690" ht="10.95" customHeight="true" customFormat="true" s="9">
      <c r="A690" s="15">
        <v>46249</v>
      </c>
      <c r="B690" s="16" t="s">
        <v>85</v>
      </c>
      <c r="C690" s="16" t="s">
        <v>314</v>
      </c>
      <c r="D690" s="16" t="s">
        <v>120</v>
      </c>
      <c r="E690" s="17">
        <v>0</v>
      </c>
      <c r="F690" s="17">
        <v>600.0000</v>
      </c>
      <c r="G690" s="17">
        <f ca="1">((G689 + F690) - E690)</f>
        <v>0</v>
      </c>
      <c r="H690" s="17">
        <v>660.0000</v>
      </c>
      <c r="I690" s="17">
        <v>60.0000</v>
      </c>
    </row>
    <row r="691" ht="10.95" customHeight="true" customFormat="true" s="9">
      <c r="A691" s="15">
        <v>46251</v>
      </c>
      <c r="B691" s="16" t="s">
        <v>85</v>
      </c>
      <c r="C691" s="16" t="s">
        <v>92</v>
      </c>
      <c r="D691" s="16" t="s">
        <v>91</v>
      </c>
      <c r="E691" s="17">
        <v>0</v>
      </c>
      <c r="F691" s="17">
        <v>500.0000</v>
      </c>
      <c r="G691" s="17">
        <f ca="1">((G690 + F691) - E691)</f>
        <v>0</v>
      </c>
      <c r="H691" s="17">
        <v>550.0000</v>
      </c>
      <c r="I691" s="17">
        <v>50.0000</v>
      </c>
    </row>
    <row r="692" ht="10.95" customHeight="true" customFormat="true" s="9">
      <c r="A692" s="15">
        <v>46251</v>
      </c>
      <c r="B692" s="16" t="s">
        <v>85</v>
      </c>
      <c r="C692" s="16" t="s">
        <v>95</v>
      </c>
      <c r="D692" s="16" t="s">
        <v>91</v>
      </c>
      <c r="E692" s="17">
        <v>0</v>
      </c>
      <c r="F692" s="17">
        <v>500.0000</v>
      </c>
      <c r="G692" s="17">
        <f ca="1">((G691 + F692) - E692)</f>
        <v>0</v>
      </c>
      <c r="H692" s="17">
        <v>550.0000</v>
      </c>
      <c r="I692" s="17">
        <v>50.0000</v>
      </c>
    </row>
    <row r="693" ht="10.95" customHeight="true" customFormat="true" s="9">
      <c r="A693" s="15">
        <v>46251</v>
      </c>
      <c r="B693" s="16" t="s">
        <v>85</v>
      </c>
      <c r="C693" s="16" t="s">
        <v>90</v>
      </c>
      <c r="D693" s="16" t="s">
        <v>91</v>
      </c>
      <c r="E693" s="17">
        <v>0</v>
      </c>
      <c r="F693" s="17">
        <v>500.0000</v>
      </c>
      <c r="G693" s="17">
        <f ca="1">((G692 + F693) - E693)</f>
        <v>0</v>
      </c>
      <c r="H693" s="17">
        <v>550.0000</v>
      </c>
      <c r="I693" s="17">
        <v>50.0000</v>
      </c>
    </row>
    <row r="694" ht="10.95" customHeight="true" customFormat="true" s="9">
      <c r="A694" s="15">
        <v>46251</v>
      </c>
      <c r="B694" s="16" t="s">
        <v>85</v>
      </c>
      <c r="C694" s="16" t="s">
        <v>93</v>
      </c>
      <c r="D694" s="16" t="s">
        <v>91</v>
      </c>
      <c r="E694" s="17">
        <v>0</v>
      </c>
      <c r="F694" s="17">
        <v>500.0000</v>
      </c>
      <c r="G694" s="17">
        <f ca="1">((G693 + F694) - E694)</f>
        <v>0</v>
      </c>
      <c r="H694" s="17">
        <v>550.0000</v>
      </c>
      <c r="I694" s="17">
        <v>50.0000</v>
      </c>
    </row>
    <row r="695" ht="10.95" customHeight="true" customFormat="true" s="9">
      <c r="A695" s="15">
        <v>46254</v>
      </c>
      <c r="B695" s="16" t="s">
        <v>85</v>
      </c>
      <c r="C695" s="16" t="s">
        <v>122</v>
      </c>
      <c r="D695" s="16" t="s">
        <v>123</v>
      </c>
      <c r="E695" s="17">
        <v>0</v>
      </c>
      <c r="F695" s="17">
        <v>3250.0000</v>
      </c>
      <c r="G695" s="17">
        <f ca="1">((G694 + F695) - E695)</f>
        <v>0</v>
      </c>
      <c r="H695" s="17">
        <v>3575.0000</v>
      </c>
      <c r="I695" s="17">
        <v>325.0000</v>
      </c>
    </row>
    <row r="696" ht="10.95" customHeight="true" customFormat="true" s="9">
      <c r="A696" s="15">
        <v>46260</v>
      </c>
      <c r="B696" s="16" t="s">
        <v>85</v>
      </c>
      <c r="C696" s="16" t="s">
        <v>86</v>
      </c>
      <c r="D696" s="16" t="s">
        <v>125</v>
      </c>
      <c r="E696" s="17">
        <v>0</v>
      </c>
      <c r="F696" s="17">
        <v>4200.0000</v>
      </c>
      <c r="G696" s="17">
        <f ca="1">((G695 + F696) - E696)</f>
        <v>0</v>
      </c>
      <c r="H696" s="17">
        <v>4620.0000</v>
      </c>
      <c r="I696" s="17">
        <v>420.0000</v>
      </c>
    </row>
    <row r="697" ht="10.95" customHeight="true" customFormat="true" s="9">
      <c r="A697" s="15">
        <v>46268</v>
      </c>
      <c r="B697" s="16" t="s">
        <v>98</v>
      </c>
      <c r="C697" s="16" t="s">
        <v>86</v>
      </c>
      <c r="D697" s="16" t="s">
        <v>125</v>
      </c>
      <c r="E697" s="17">
        <v>350.0000</v>
      </c>
      <c r="F697" s="17">
        <v>0</v>
      </c>
      <c r="G697" s="17">
        <f ca="1">((G696 + F697) - E697)</f>
        <v>0</v>
      </c>
      <c r="H697" s="17">
        <v>-385.0000</v>
      </c>
      <c r="I697" s="17">
        <v>-35.0000</v>
      </c>
    </row>
    <row r="698" ht="10.95" customHeight="true" customFormat="true" s="9">
      <c r="A698" s="15">
        <v>46270</v>
      </c>
      <c r="B698" s="16" t="s">
        <v>85</v>
      </c>
      <c r="C698" s="16" t="s">
        <v>129</v>
      </c>
      <c r="D698" s="16" t="s">
        <v>130</v>
      </c>
      <c r="E698" s="17">
        <v>0</v>
      </c>
      <c r="F698" s="17">
        <v>1200.0000</v>
      </c>
      <c r="G698" s="17">
        <f ca="1">((G697 + F698) - E698)</f>
        <v>0</v>
      </c>
      <c r="H698" s="17">
        <v>1320.0000</v>
      </c>
      <c r="I698" s="17">
        <v>120.0000</v>
      </c>
    </row>
    <row r="699" ht="10.95" customHeight="true" customFormat="true" s="9">
      <c r="A699" s="15">
        <v>46280</v>
      </c>
      <c r="B699" s="16" t="s">
        <v>98</v>
      </c>
      <c r="C699" s="16" t="s">
        <v>315</v>
      </c>
      <c r="D699" s="16" t="s">
        <v>131</v>
      </c>
      <c r="E699" s="17">
        <v>55.0000</v>
      </c>
      <c r="F699" s="17">
        <v>0</v>
      </c>
      <c r="G699" s="17">
        <f ca="1">((G698 + F699) - E699)</f>
        <v>0</v>
      </c>
      <c r="H699" s="17">
        <v>-60.5000</v>
      </c>
      <c r="I699" s="17">
        <v>-5.5000</v>
      </c>
    </row>
    <row r="700" ht="10.95" customHeight="true" customFormat="true" s="9">
      <c r="A700" s="15">
        <v>46281</v>
      </c>
      <c r="B700" s="16" t="s">
        <v>85</v>
      </c>
      <c r="C700" s="16" t="s">
        <v>132</v>
      </c>
      <c r="D700" s="16" t="s">
        <v>133</v>
      </c>
      <c r="E700" s="17">
        <v>0</v>
      </c>
      <c r="F700" s="17">
        <v>500.0000</v>
      </c>
      <c r="G700" s="17">
        <f ca="1">((G699 + F700) - E700)</f>
        <v>0</v>
      </c>
      <c r="H700" s="17">
        <v>550.0000</v>
      </c>
      <c r="I700" s="17">
        <v>50.0000</v>
      </c>
    </row>
    <row r="701" ht="10.95" customHeight="true" customFormat="true" s="9">
      <c r="A701" s="15">
        <v>46282</v>
      </c>
      <c r="B701" s="16" t="s">
        <v>85</v>
      </c>
      <c r="C701" s="16" t="s">
        <v>93</v>
      </c>
      <c r="D701" s="16" t="s">
        <v>91</v>
      </c>
      <c r="E701" s="17">
        <v>0</v>
      </c>
      <c r="F701" s="17">
        <v>500.0000</v>
      </c>
      <c r="G701" s="17">
        <f ca="1">((G700 + F701) - E701)</f>
        <v>0</v>
      </c>
      <c r="H701" s="17">
        <v>550.0000</v>
      </c>
      <c r="I701" s="17">
        <v>50.0000</v>
      </c>
    </row>
    <row r="702" ht="10.95" customHeight="true" customFormat="true" s="9">
      <c r="A702" s="15">
        <v>46282</v>
      </c>
      <c r="B702" s="16" t="s">
        <v>85</v>
      </c>
      <c r="C702" s="16" t="s">
        <v>15</v>
      </c>
      <c r="D702" s="16" t="s">
        <v>117</v>
      </c>
      <c r="E702" s="17">
        <v>0</v>
      </c>
      <c r="F702" s="17">
        <v>6500.0000</v>
      </c>
      <c r="G702" s="17">
        <f ca="1">((G701 + F702) - E702)</f>
        <v>0</v>
      </c>
      <c r="H702" s="17">
        <v>7150.0000</v>
      </c>
      <c r="I702" s="17">
        <v>650.0000</v>
      </c>
    </row>
    <row r="703" ht="10.95" customHeight="true" customFormat="true" s="9">
      <c r="A703" s="15">
        <v>46282</v>
      </c>
      <c r="B703" s="16" t="s">
        <v>85</v>
      </c>
      <c r="C703" s="16" t="s">
        <v>90</v>
      </c>
      <c r="D703" s="16" t="s">
        <v>91</v>
      </c>
      <c r="E703" s="17">
        <v>0</v>
      </c>
      <c r="F703" s="17">
        <v>500.0000</v>
      </c>
      <c r="G703" s="17">
        <f ca="1">((G702 + F703) - E703)</f>
        <v>0</v>
      </c>
      <c r="H703" s="17">
        <v>550.0000</v>
      </c>
      <c r="I703" s="17">
        <v>50.0000</v>
      </c>
    </row>
    <row r="704" ht="10.95" customHeight="true" customFormat="true" s="9">
      <c r="A704" s="15">
        <v>46282</v>
      </c>
      <c r="B704" s="16" t="s">
        <v>85</v>
      </c>
      <c r="C704" s="16" t="s">
        <v>92</v>
      </c>
      <c r="D704" s="16" t="s">
        <v>91</v>
      </c>
      <c r="E704" s="17">
        <v>0</v>
      </c>
      <c r="F704" s="17">
        <v>500.0000</v>
      </c>
      <c r="G704" s="17">
        <f ca="1">((G703 + F704) - E704)</f>
        <v>0</v>
      </c>
      <c r="H704" s="17">
        <v>550.0000</v>
      </c>
      <c r="I704" s="17">
        <v>50.0000</v>
      </c>
    </row>
    <row r="705" ht="10.95" customHeight="true" customFormat="true" s="9">
      <c r="A705" s="15">
        <v>46282</v>
      </c>
      <c r="B705" s="16" t="s">
        <v>85</v>
      </c>
      <c r="C705" s="16" t="s">
        <v>95</v>
      </c>
      <c r="D705" s="16" t="s">
        <v>91</v>
      </c>
      <c r="E705" s="17">
        <v>0</v>
      </c>
      <c r="F705" s="17">
        <v>500.0000</v>
      </c>
      <c r="G705" s="17">
        <f ca="1">((G704 + F705) - E705)</f>
        <v>0</v>
      </c>
      <c r="H705" s="17">
        <v>550.0000</v>
      </c>
      <c r="I705" s="17">
        <v>50.0000</v>
      </c>
    </row>
    <row r="706" ht="10.95" customHeight="true" customFormat="true" s="9">
      <c r="A706" s="15">
        <v>46296</v>
      </c>
      <c r="B706" s="16" t="s">
        <v>85</v>
      </c>
      <c r="C706" s="16" t="s">
        <v>316</v>
      </c>
      <c r="D706" s="16" t="s">
        <v>137</v>
      </c>
      <c r="E706" s="17">
        <v>0</v>
      </c>
      <c r="F706" s="17">
        <v>300.0000</v>
      </c>
      <c r="G706" s="17">
        <f ca="1">((G705 + F706) - E706)</f>
        <v>0</v>
      </c>
      <c r="H706" s="17">
        <v>330.0000</v>
      </c>
      <c r="I706" s="17">
        <v>30.0000</v>
      </c>
    </row>
    <row r="707" ht="10.95" customHeight="true" customFormat="true" s="9">
      <c r="A707" s="15">
        <v>46296</v>
      </c>
      <c r="B707" s="16" t="s">
        <v>85</v>
      </c>
      <c r="C707" s="16" t="s">
        <v>317</v>
      </c>
      <c r="D707" s="16" t="s">
        <v>139</v>
      </c>
      <c r="E707" s="17">
        <v>0</v>
      </c>
      <c r="F707" s="17">
        <v>96.0000</v>
      </c>
      <c r="G707" s="17">
        <f ca="1">((G706 + F707) - E707)</f>
        <v>0</v>
      </c>
      <c r="H707" s="17">
        <v>105.6000</v>
      </c>
      <c r="I707" s="17">
        <v>9.6000</v>
      </c>
    </row>
    <row r="708" ht="10.95" customHeight="true" customFormat="true" s="9">
      <c r="A708" s="15">
        <v>46296</v>
      </c>
      <c r="B708" s="16" t="s">
        <v>85</v>
      </c>
      <c r="C708" s="16" t="s">
        <v>15</v>
      </c>
      <c r="D708" s="16" t="s">
        <v>117</v>
      </c>
      <c r="E708" s="17">
        <v>0</v>
      </c>
      <c r="F708" s="17">
        <v>3500.0000</v>
      </c>
      <c r="G708" s="17">
        <f ca="1">((G707 + F708) - E708)</f>
        <v>0</v>
      </c>
      <c r="H708" s="17">
        <v>3850.0000</v>
      </c>
      <c r="I708" s="17">
        <v>350.0000</v>
      </c>
    </row>
    <row r="709" ht="10.95" customHeight="true" customFormat="true" s="9">
      <c r="A709" s="15">
        <v>46301</v>
      </c>
      <c r="B709" s="16" t="s">
        <v>85</v>
      </c>
      <c r="C709" s="16" t="s">
        <v>140</v>
      </c>
      <c r="D709" s="16" t="s">
        <v>141</v>
      </c>
      <c r="E709" s="17">
        <v>0</v>
      </c>
      <c r="F709" s="17">
        <v>2800.0000</v>
      </c>
      <c r="G709" s="17">
        <f ca="1">((G708 + F709) - E709)</f>
        <v>0</v>
      </c>
      <c r="H709" s="17">
        <v>3080.0000</v>
      </c>
      <c r="I709" s="17">
        <v>280.0000</v>
      </c>
    </row>
    <row r="710" ht="10.95" customHeight="true" customFormat="true" s="9">
      <c r="A710" s="15">
        <v>46301</v>
      </c>
      <c r="B710" s="16" t="s">
        <v>85</v>
      </c>
      <c r="C710" s="16" t="s">
        <v>318</v>
      </c>
      <c r="D710" s="16" t="s">
        <v>143</v>
      </c>
      <c r="E710" s="17">
        <v>0</v>
      </c>
      <c r="F710" s="17">
        <v>5625.0000</v>
      </c>
      <c r="G710" s="17">
        <f ca="1">((G709 + F710) - E710)</f>
        <v>0</v>
      </c>
      <c r="H710" s="17">
        <v>6187.5000</v>
      </c>
      <c r="I710" s="17">
        <v>562.5000</v>
      </c>
    </row>
    <row r="711" ht="10.95" customHeight="true" customFormat="true" s="9">
      <c r="A711" s="15">
        <v>46301</v>
      </c>
      <c r="B711" s="16" t="s">
        <v>85</v>
      </c>
      <c r="C711" s="16" t="s">
        <v>319</v>
      </c>
      <c r="D711" s="16" t="s">
        <v>145</v>
      </c>
      <c r="E711" s="17">
        <v>0</v>
      </c>
      <c r="F711" s="17">
        <v>500.0000</v>
      </c>
      <c r="G711" s="17">
        <f ca="1">((G710 + F711) - E711)</f>
        <v>0</v>
      </c>
      <c r="H711" s="17">
        <v>550.0000</v>
      </c>
      <c r="I711" s="17">
        <v>50.0000</v>
      </c>
    </row>
    <row r="712" ht="10.95" customHeight="true" customFormat="true" s="9">
      <c r="A712" s="15">
        <v>46304</v>
      </c>
      <c r="B712" s="16" t="s">
        <v>85</v>
      </c>
      <c r="C712" s="16" t="s">
        <v>320</v>
      </c>
      <c r="D712" s="16" t="s">
        <v>146</v>
      </c>
      <c r="E712" s="17">
        <v>0</v>
      </c>
      <c r="F712" s="17">
        <v>2070.0000</v>
      </c>
      <c r="G712" s="17">
        <f ca="1">((G711 + F712) - E712)</f>
        <v>0</v>
      </c>
      <c r="H712" s="17">
        <v>2277.0000</v>
      </c>
      <c r="I712" s="17">
        <v>207.0000</v>
      </c>
    </row>
    <row r="713" ht="10.95" customHeight="true" customFormat="true" s="9">
      <c r="A713" s="15">
        <v>46304</v>
      </c>
      <c r="B713" s="16" t="s">
        <v>85</v>
      </c>
      <c r="C713" s="16" t="s">
        <v>321</v>
      </c>
      <c r="D713" s="16" t="s">
        <v>146</v>
      </c>
      <c r="E713" s="17">
        <v>0</v>
      </c>
      <c r="F713" s="17">
        <v>3600.0000</v>
      </c>
      <c r="G713" s="17">
        <f ca="1">((G712 + F713) - E713)</f>
        <v>0</v>
      </c>
      <c r="H713" s="17">
        <v>3960.0000</v>
      </c>
      <c r="I713" s="17">
        <v>360.0000</v>
      </c>
    </row>
    <row r="714" ht="10.95" customHeight="true" customFormat="true" s="9">
      <c r="A714" s="15">
        <v>46307</v>
      </c>
      <c r="B714" s="16" t="s">
        <v>85</v>
      </c>
      <c r="C714" s="16" t="s">
        <v>322</v>
      </c>
      <c r="D714" s="16" t="s">
        <v>148</v>
      </c>
      <c r="E714" s="17">
        <v>0</v>
      </c>
      <c r="F714" s="17">
        <v>2909.0900</v>
      </c>
      <c r="G714" s="17">
        <f ca="1">((G713 + F714) - E714)</f>
        <v>0</v>
      </c>
      <c r="H714" s="17">
        <v>3200.0000</v>
      </c>
      <c r="I714" s="17">
        <v>290.9100</v>
      </c>
    </row>
    <row r="715" ht="10.95" customHeight="true" customFormat="true" s="9">
      <c r="A715" s="15">
        <v>46309</v>
      </c>
      <c r="B715" s="16" t="s">
        <v>85</v>
      </c>
      <c r="C715" s="16" t="s">
        <v>323</v>
      </c>
      <c r="D715" s="16" t="s">
        <v>150</v>
      </c>
      <c r="E715" s="17">
        <v>0</v>
      </c>
      <c r="F715" s="17">
        <v>3818.1800</v>
      </c>
      <c r="G715" s="17">
        <f ca="1">((G714 + F715) - E715)</f>
        <v>0</v>
      </c>
      <c r="H715" s="17">
        <v>4200.0000</v>
      </c>
      <c r="I715" s="17">
        <v>381.8200</v>
      </c>
    </row>
    <row r="716" ht="10.95" customHeight="true" customFormat="true" s="9">
      <c r="A716" s="15">
        <v>46311</v>
      </c>
      <c r="B716" s="16" t="s">
        <v>98</v>
      </c>
      <c r="C716" s="16" t="s">
        <v>15</v>
      </c>
      <c r="D716" s="16" t="s">
        <v>117</v>
      </c>
      <c r="E716" s="17">
        <v>1050.0000</v>
      </c>
      <c r="F716" s="17">
        <v>0</v>
      </c>
      <c r="G716" s="17">
        <f ca="1">((G715 + F716) - E716)</f>
        <v>0</v>
      </c>
      <c r="H716" s="17">
        <v>-1155.0000</v>
      </c>
      <c r="I716" s="17">
        <v>-105.0000</v>
      </c>
    </row>
    <row r="717" ht="10.95" customHeight="true" customFormat="true" s="9">
      <c r="A717" s="15">
        <v>46311</v>
      </c>
      <c r="B717" s="16" t="s">
        <v>85</v>
      </c>
      <c r="C717" s="16" t="s">
        <v>152</v>
      </c>
      <c r="D717" s="16" t="s">
        <v>153</v>
      </c>
      <c r="E717" s="17">
        <v>0</v>
      </c>
      <c r="F717" s="17">
        <v>450.0000</v>
      </c>
      <c r="G717" s="17">
        <f ca="1">((G716 + F717) - E717)</f>
        <v>0</v>
      </c>
      <c r="H717" s="17">
        <v>495.0000</v>
      </c>
      <c r="I717" s="17">
        <v>45.0000</v>
      </c>
    </row>
    <row r="718" ht="10.95" customHeight="true" customFormat="true" s="9">
      <c r="A718" s="15">
        <v>46312</v>
      </c>
      <c r="B718" s="16" t="s">
        <v>85</v>
      </c>
      <c r="C718" s="16" t="s">
        <v>324</v>
      </c>
      <c r="D718" s="16" t="s">
        <v>156</v>
      </c>
      <c r="E718" s="17">
        <v>0</v>
      </c>
      <c r="F718" s="17">
        <v>350.0000</v>
      </c>
      <c r="G718" s="17">
        <f ca="1">((G717 + F718) - E718)</f>
        <v>0</v>
      </c>
      <c r="H718" s="17">
        <v>385.0000</v>
      </c>
      <c r="I718" s="17">
        <v>35.0000</v>
      </c>
    </row>
    <row r="719" ht="10.95" customHeight="true" customFormat="true" s="9">
      <c r="A719" s="15">
        <v>46312</v>
      </c>
      <c r="B719" s="16" t="s">
        <v>85</v>
      </c>
      <c r="C719" s="16" t="s">
        <v>325</v>
      </c>
      <c r="D719" s="16" t="s">
        <v>156</v>
      </c>
      <c r="E719" s="17">
        <v>0</v>
      </c>
      <c r="F719" s="17">
        <v>481.4100</v>
      </c>
      <c r="G719" s="17">
        <f ca="1">((G718 + F719) - E719)</f>
        <v>0</v>
      </c>
      <c r="H719" s="17">
        <v>529.5500</v>
      </c>
      <c r="I719" s="17">
        <v>48.1400</v>
      </c>
    </row>
    <row r="720" ht="10.95" customHeight="true" customFormat="true" s="9">
      <c r="A720" s="15">
        <v>46312</v>
      </c>
      <c r="B720" s="16" t="s">
        <v>85</v>
      </c>
      <c r="C720" s="16" t="s">
        <v>326</v>
      </c>
      <c r="D720" s="16" t="s">
        <v>158</v>
      </c>
      <c r="E720" s="17">
        <v>0</v>
      </c>
      <c r="F720" s="17">
        <v>360.0000</v>
      </c>
      <c r="G720" s="17">
        <f ca="1">((G719 + F720) - E720)</f>
        <v>0</v>
      </c>
      <c r="H720" s="17">
        <v>396.0000</v>
      </c>
      <c r="I720" s="17">
        <v>36.0000</v>
      </c>
    </row>
    <row r="721" ht="10.95" customHeight="true" customFormat="true" s="9">
      <c r="A721" s="15">
        <v>46312</v>
      </c>
      <c r="B721" s="16" t="s">
        <v>85</v>
      </c>
      <c r="C721" s="16" t="s">
        <v>327</v>
      </c>
      <c r="D721" s="16" t="s">
        <v>77</v>
      </c>
      <c r="E721" s="17">
        <v>0</v>
      </c>
      <c r="F721" s="17">
        <v>203.6400</v>
      </c>
      <c r="G721" s="17">
        <f ca="1">((G720 + F721) - E721)</f>
        <v>0</v>
      </c>
      <c r="H721" s="17">
        <v>224.0000</v>
      </c>
      <c r="I721" s="17">
        <v>20.3600</v>
      </c>
    </row>
    <row r="722" ht="21.3" customHeight="true" customFormat="true" s="9">
      <c r="A722" s="15">
        <v>46312</v>
      </c>
      <c r="B722" s="16" t="s">
        <v>85</v>
      </c>
      <c r="C722" s="21" t="s">
        <v>328</v>
      </c>
      <c r="D722" s="16" t="s">
        <v>159</v>
      </c>
      <c r="E722" s="17">
        <v>0</v>
      </c>
      <c r="F722" s="17">
        <v>1500.0000</v>
      </c>
      <c r="G722" s="17">
        <f ca="1">((G721 + F722) - E722)</f>
        <v>0</v>
      </c>
      <c r="H722" s="17">
        <v>1650.0000</v>
      </c>
      <c r="I722" s="17">
        <v>150.0000</v>
      </c>
    </row>
    <row r="723" ht="10.95" customHeight="true" customFormat="true" s="9">
      <c r="A723" s="18" t="s">
        <v>329</v>
      </c>
      <c r="B723" s="18"/>
      <c r="C723" s="18"/>
      <c r="D723" s="18"/>
      <c r="E723" s="19">
        <f ca="1">SUM(E672:E722)</f>
        <v>0</v>
      </c>
      <c r="F723" s="19">
        <f ca="1">SUM(F672:F722)</f>
        <v>0</v>
      </c>
      <c r="G723" s="19">
        <f ca="1">G722</f>
        <v>0</v>
      </c>
      <c r="H723" s="19">
        <f ca="1">SUM(H672:H722)</f>
        <v>0</v>
      </c>
      <c r="I723" s="19">
        <f ca="1">SUM(I672:I722)</f>
        <v>0</v>
      </c>
    </row>
    <row r="724" ht="13.35" customHeight="true"/>
    <row r="725" ht="12.1" customHeight="true" customFormat="true" s="5">
      <c r="A725" s="20" t="s">
        <v>330</v>
      </c>
      <c r="B725" s="20"/>
      <c r="C725" s="20"/>
      <c r="D725" s="20"/>
      <c r="E725" s="20"/>
      <c r="F725" s="20"/>
      <c r="G725" s="20"/>
      <c r="H725" s="20"/>
      <c r="I725" s="20"/>
    </row>
    <row r="726" ht="10.95" customHeight="true" customFormat="true" s="9">
      <c r="A726" s="12">
        <v>46296</v>
      </c>
      <c r="B726" s="13" t="s">
        <v>162</v>
      </c>
      <c r="C726" s="13" t="s">
        <v>216</v>
      </c>
      <c r="D726" s="13"/>
      <c r="E726" s="14">
        <v>45.4500</v>
      </c>
      <c r="F726" s="14">
        <v>0</v>
      </c>
      <c r="G726" s="14">
        <f ca="1">(E726 - F726)</f>
        <v>0</v>
      </c>
      <c r="H726" s="14">
        <v>49.9900</v>
      </c>
      <c r="I726" s="14">
        <v>4.5400</v>
      </c>
    </row>
    <row r="727" ht="10.95" customHeight="true" customFormat="true" s="9">
      <c r="A727" s="15">
        <v>46312</v>
      </c>
      <c r="B727" s="16" t="s">
        <v>14</v>
      </c>
      <c r="C727" s="16" t="s">
        <v>78</v>
      </c>
      <c r="D727" s="16" t="s">
        <v>79</v>
      </c>
      <c r="E727" s="17">
        <v>120.0000</v>
      </c>
      <c r="F727" s="17">
        <v>0</v>
      </c>
      <c r="G727" s="17">
        <f ca="1">((G726 + E727) - F727)</f>
        <v>0</v>
      </c>
      <c r="H727" s="17">
        <v>132.0000</v>
      </c>
      <c r="I727" s="17">
        <v>12.0000</v>
      </c>
    </row>
    <row r="728" ht="10.95" customHeight="true" customFormat="true" s="9">
      <c r="A728" s="18" t="s">
        <v>331</v>
      </c>
      <c r="B728" s="18"/>
      <c r="C728" s="18"/>
      <c r="D728" s="18"/>
      <c r="E728" s="19">
        <f ca="1">SUM(E726:E727)</f>
        <v>0</v>
      </c>
      <c r="F728" s="19">
        <f ca="1">SUM(F726:F727)</f>
        <v>0</v>
      </c>
      <c r="G728" s="19">
        <f ca="1">G727</f>
        <v>0</v>
      </c>
      <c r="H728" s="19">
        <f ca="1">SUM(H726:H727)</f>
        <v>0</v>
      </c>
      <c r="I728" s="19">
        <f ca="1">SUM(I726:I727)</f>
        <v>0</v>
      </c>
    </row>
    <row r="729" ht="13.35" customHeight="true"/>
    <row r="730" ht="12.1" customHeight="true" customFormat="true" s="5">
      <c r="A730" s="20" t="s">
        <v>332</v>
      </c>
      <c r="B730" s="20"/>
      <c r="C730" s="20"/>
      <c r="D730" s="20"/>
      <c r="E730" s="20"/>
      <c r="F730" s="20"/>
      <c r="G730" s="20"/>
      <c r="H730" s="20"/>
      <c r="I730" s="20"/>
    </row>
    <row r="731" ht="10.95" customHeight="true" customFormat="true" s="9">
      <c r="A731" s="12">
        <v>46237</v>
      </c>
      <c r="B731" s="13" t="s">
        <v>14</v>
      </c>
      <c r="C731" s="13" t="s">
        <v>29</v>
      </c>
      <c r="D731" s="13" t="s">
        <v>30</v>
      </c>
      <c r="E731" s="14">
        <v>32.5000</v>
      </c>
      <c r="F731" s="14">
        <v>0</v>
      </c>
      <c r="G731" s="14">
        <f ca="1">(E731 - F731)</f>
        <v>0</v>
      </c>
      <c r="H731" s="14">
        <v>35.7500</v>
      </c>
      <c r="I731" s="14">
        <v>3.2500</v>
      </c>
    </row>
    <row r="732" ht="10.95" customHeight="true" customFormat="true" s="9">
      <c r="A732" s="15">
        <v>46251</v>
      </c>
      <c r="B732" s="16" t="s">
        <v>14</v>
      </c>
      <c r="C732" s="16" t="s">
        <v>40</v>
      </c>
      <c r="D732" s="16" t="s">
        <v>41</v>
      </c>
      <c r="E732" s="17">
        <v>15.9000</v>
      </c>
      <c r="F732" s="17">
        <v>0</v>
      </c>
      <c r="G732" s="17">
        <f ca="1">((G731 + E732) - F732)</f>
        <v>0</v>
      </c>
      <c r="H732" s="17">
        <v>17.4900</v>
      </c>
      <c r="I732" s="17">
        <v>1.5900</v>
      </c>
    </row>
    <row r="733" ht="10.95" customHeight="true" customFormat="true" s="9">
      <c r="A733" s="15">
        <v>46251</v>
      </c>
      <c r="B733" s="16" t="s">
        <v>14</v>
      </c>
      <c r="C733" s="16" t="s">
        <v>40</v>
      </c>
      <c r="D733" s="16" t="s">
        <v>41</v>
      </c>
      <c r="E733" s="17">
        <v>10.4500</v>
      </c>
      <c r="F733" s="17">
        <v>0</v>
      </c>
      <c r="G733" s="17">
        <f ca="1">((G732 + E733) - F733)</f>
        <v>0</v>
      </c>
      <c r="H733" s="17">
        <v>11.5000</v>
      </c>
      <c r="I733" s="17">
        <v>1.0500</v>
      </c>
    </row>
    <row r="734" ht="10.95" customHeight="true" customFormat="true" s="9">
      <c r="A734" s="15">
        <v>46251</v>
      </c>
      <c r="B734" s="16" t="s">
        <v>14</v>
      </c>
      <c r="C734" s="16" t="s">
        <v>40</v>
      </c>
      <c r="D734" s="16" t="s">
        <v>41</v>
      </c>
      <c r="E734" s="17">
        <v>99.0000</v>
      </c>
      <c r="F734" s="17">
        <v>0</v>
      </c>
      <c r="G734" s="17">
        <f ca="1">((G733 + E734) - F734)</f>
        <v>0</v>
      </c>
      <c r="H734" s="17">
        <v>108.9000</v>
      </c>
      <c r="I734" s="17">
        <v>9.9000</v>
      </c>
    </row>
    <row r="735" ht="10.95" customHeight="true" customFormat="true" s="9">
      <c r="A735" s="15">
        <v>46268</v>
      </c>
      <c r="B735" s="16" t="s">
        <v>14</v>
      </c>
      <c r="C735" s="16" t="s">
        <v>29</v>
      </c>
      <c r="D735" s="16" t="s">
        <v>50</v>
      </c>
      <c r="E735" s="17">
        <v>32.5000</v>
      </c>
      <c r="F735" s="17">
        <v>0</v>
      </c>
      <c r="G735" s="17">
        <f ca="1">((G734 + E735) - F735)</f>
        <v>0</v>
      </c>
      <c r="H735" s="17">
        <v>35.7500</v>
      </c>
      <c r="I735" s="17">
        <v>3.2500</v>
      </c>
    </row>
    <row r="736" ht="10.95" customHeight="true" customFormat="true" s="9">
      <c r="A736" s="15">
        <v>46299</v>
      </c>
      <c r="B736" s="16" t="s">
        <v>14</v>
      </c>
      <c r="C736" s="16" t="s">
        <v>333</v>
      </c>
      <c r="D736" s="16" t="s">
        <v>63</v>
      </c>
      <c r="E736" s="17">
        <v>49.2100</v>
      </c>
      <c r="F736" s="17">
        <v>0</v>
      </c>
      <c r="G736" s="17">
        <f ca="1">((G735 + E736) - F736)</f>
        <v>0</v>
      </c>
      <c r="H736" s="17">
        <v>54.1300</v>
      </c>
      <c r="I736" s="17">
        <v>4.9200</v>
      </c>
    </row>
    <row r="737" ht="10.95" customHeight="true" customFormat="true" s="9">
      <c r="A737" s="18" t="s">
        <v>334</v>
      </c>
      <c r="B737" s="18"/>
      <c r="C737" s="18"/>
      <c r="D737" s="18"/>
      <c r="E737" s="19">
        <f ca="1">SUM(E731:E736)</f>
        <v>0</v>
      </c>
      <c r="F737" s="19">
        <f ca="1">SUM(F731:F736)</f>
        <v>0</v>
      </c>
      <c r="G737" s="19">
        <f ca="1">G736</f>
        <v>0</v>
      </c>
      <c r="H737" s="19">
        <f ca="1">SUM(H731:H736)</f>
        <v>0</v>
      </c>
      <c r="I737" s="19">
        <f ca="1">SUM(I731:I736)</f>
        <v>0</v>
      </c>
    </row>
    <row r="738" ht="13.35" customHeight="true"/>
    <row r="739" ht="12.1" customHeight="true" customFormat="true" s="5">
      <c r="A739" s="8" t="s">
        <v>335</v>
      </c>
      <c r="B739" s="8"/>
      <c r="C739" s="8"/>
      <c r="D739" s="8"/>
      <c r="E739" s="8"/>
      <c r="F739" s="8"/>
      <c r="G739" s="8"/>
      <c r="H739" s="8"/>
      <c r="I739" s="8"/>
    </row>
    <row r="740" ht="10.95" customHeight="true" customFormat="true" s="9">
      <c r="A740" s="10" t="s">
        <v>13</v>
      </c>
      <c r="B740" s="10"/>
      <c r="C740" s="10"/>
      <c r="D740" s="10"/>
      <c r="E740" s="11">
        <v>0</v>
      </c>
      <c r="F740" s="11">
        <v>0</v>
      </c>
      <c r="G740" s="11">
        <f ca="1">(F740 - E740)</f>
        <v>0</v>
      </c>
      <c r="H740" s="11">
        <v>0</v>
      </c>
      <c r="I740" s="11">
        <v>0</v>
      </c>
    </row>
    <row r="741" ht="10.95" customHeight="true" customFormat="true" s="9">
      <c r="A741" s="12">
        <v>46229</v>
      </c>
      <c r="B741" s="13" t="s">
        <v>100</v>
      </c>
      <c r="C741" s="13" t="s">
        <v>93</v>
      </c>
      <c r="D741" s="13" t="s">
        <v>99</v>
      </c>
      <c r="E741" s="14">
        <v>0</v>
      </c>
      <c r="F741" s="14">
        <v>550.0000</v>
      </c>
      <c r="G741" s="14">
        <f ca="1">((G740 + F741) - E741)</f>
        <v>0</v>
      </c>
      <c r="H741" s="14">
        <v>550.0000</v>
      </c>
      <c r="I741" s="14">
        <v>0</v>
      </c>
    </row>
    <row r="742" ht="10.95" customHeight="true" customFormat="true" s="9">
      <c r="A742" s="15">
        <v>46229</v>
      </c>
      <c r="B742" s="16" t="s">
        <v>100</v>
      </c>
      <c r="C742" s="16" t="s">
        <v>93</v>
      </c>
      <c r="D742" s="16" t="s">
        <v>99</v>
      </c>
      <c r="E742" s="17">
        <v>550.0000</v>
      </c>
      <c r="F742" s="17">
        <v>0</v>
      </c>
      <c r="G742" s="17">
        <f ca="1">((G741 + F742) - E742)</f>
        <v>0</v>
      </c>
      <c r="H742" s="17">
        <v>-550.0000</v>
      </c>
      <c r="I742" s="17">
        <v>0</v>
      </c>
    </row>
    <row r="743" ht="10.95" customHeight="true" customFormat="true" s="9">
      <c r="A743" s="15">
        <v>46234</v>
      </c>
      <c r="B743" s="16" t="s">
        <v>100</v>
      </c>
      <c r="C743" s="16" t="s">
        <v>96</v>
      </c>
      <c r="D743" s="16" t="s">
        <v>109</v>
      </c>
      <c r="E743" s="17">
        <v>0</v>
      </c>
      <c r="F743" s="17">
        <v>550.0000</v>
      </c>
      <c r="G743" s="17">
        <f ca="1">((G742 + F743) - E743)</f>
        <v>0</v>
      </c>
      <c r="H743" s="17">
        <v>550.0000</v>
      </c>
      <c r="I743" s="17">
        <v>0</v>
      </c>
    </row>
    <row r="744" ht="10.95" customHeight="true" customFormat="true" s="9">
      <c r="A744" s="15">
        <v>46234</v>
      </c>
      <c r="B744" s="16" t="s">
        <v>100</v>
      </c>
      <c r="C744" s="16" t="s">
        <v>96</v>
      </c>
      <c r="D744" s="16" t="s">
        <v>109</v>
      </c>
      <c r="E744" s="17">
        <v>550.0000</v>
      </c>
      <c r="F744" s="17">
        <v>0</v>
      </c>
      <c r="G744" s="17">
        <f ca="1">((G743 + F744) - E744)</f>
        <v>0</v>
      </c>
      <c r="H744" s="17">
        <v>-550.0000</v>
      </c>
      <c r="I744" s="17">
        <v>0</v>
      </c>
    </row>
    <row r="745" ht="10.95" customHeight="true" customFormat="true" s="9">
      <c r="A745" s="15">
        <v>46239</v>
      </c>
      <c r="B745" s="16" t="s">
        <v>32</v>
      </c>
      <c r="C745" s="16" t="s">
        <v>24</v>
      </c>
      <c r="D745" s="16" t="s">
        <v>28</v>
      </c>
      <c r="E745" s="17">
        <v>218.9000</v>
      </c>
      <c r="F745" s="17">
        <v>0</v>
      </c>
      <c r="G745" s="17">
        <f ca="1">((G744 + F745) - E745)</f>
        <v>0</v>
      </c>
      <c r="H745" s="17">
        <v>-218.9000</v>
      </c>
      <c r="I745" s="17">
        <v>0</v>
      </c>
    </row>
    <row r="746" ht="10.95" customHeight="true" customFormat="true" s="9">
      <c r="A746" s="15">
        <v>46239</v>
      </c>
      <c r="B746" s="16" t="s">
        <v>32</v>
      </c>
      <c r="C746" s="16" t="s">
        <v>24</v>
      </c>
      <c r="D746" s="16" t="s">
        <v>28</v>
      </c>
      <c r="E746" s="17">
        <v>0</v>
      </c>
      <c r="F746" s="17">
        <v>218.9000</v>
      </c>
      <c r="G746" s="17">
        <f ca="1">((G745 + F746) - E746)</f>
        <v>0</v>
      </c>
      <c r="H746" s="17">
        <v>218.9000</v>
      </c>
      <c r="I746" s="17">
        <v>0</v>
      </c>
    </row>
    <row r="747" ht="10.95" customHeight="true" customFormat="true" s="9">
      <c r="A747" s="15">
        <v>46251</v>
      </c>
      <c r="B747" s="16" t="s">
        <v>100</v>
      </c>
      <c r="C747" s="16" t="s">
        <v>15</v>
      </c>
      <c r="D747" s="16" t="s">
        <v>117</v>
      </c>
      <c r="E747" s="17">
        <v>26.4000</v>
      </c>
      <c r="F747" s="17">
        <v>0</v>
      </c>
      <c r="G747" s="17">
        <f ca="1">((G746 + F747) - E747)</f>
        <v>0</v>
      </c>
      <c r="H747" s="17">
        <v>-26.4000</v>
      </c>
      <c r="I747" s="17">
        <v>0</v>
      </c>
    </row>
    <row r="748" ht="10.95" customHeight="true" customFormat="true" s="9">
      <c r="A748" s="15">
        <v>46251</v>
      </c>
      <c r="B748" s="16" t="s">
        <v>100</v>
      </c>
      <c r="C748" s="16" t="s">
        <v>15</v>
      </c>
      <c r="D748" s="16" t="s">
        <v>117</v>
      </c>
      <c r="E748" s="17">
        <v>0</v>
      </c>
      <c r="F748" s="17">
        <v>26.4000</v>
      </c>
      <c r="G748" s="17">
        <f ca="1">((G747 + F748) - E748)</f>
        <v>0</v>
      </c>
      <c r="H748" s="17">
        <v>26.4000</v>
      </c>
      <c r="I748" s="17">
        <v>0</v>
      </c>
    </row>
    <row r="749" ht="10.95" customHeight="true" customFormat="true" s="9">
      <c r="A749" s="15">
        <v>46267</v>
      </c>
      <c r="B749" s="16" t="s">
        <v>32</v>
      </c>
      <c r="C749" s="16" t="s">
        <v>43</v>
      </c>
      <c r="D749" s="16"/>
      <c r="E749" s="17">
        <v>200.0000</v>
      </c>
      <c r="F749" s="17">
        <v>0</v>
      </c>
      <c r="G749" s="17">
        <f ca="1">((G748 + F749) - E749)</f>
        <v>0</v>
      </c>
      <c r="H749" s="17">
        <v>-200.0000</v>
      </c>
      <c r="I749" s="17">
        <v>0</v>
      </c>
    </row>
    <row r="750" ht="10.95" customHeight="true" customFormat="true" s="9">
      <c r="A750" s="15">
        <v>46267</v>
      </c>
      <c r="B750" s="16" t="s">
        <v>32</v>
      </c>
      <c r="C750" s="16" t="s">
        <v>43</v>
      </c>
      <c r="D750" s="16"/>
      <c r="E750" s="17">
        <v>0</v>
      </c>
      <c r="F750" s="17">
        <v>200.0000</v>
      </c>
      <c r="G750" s="17">
        <f ca="1">((G749 + F750) - E750)</f>
        <v>0</v>
      </c>
      <c r="H750" s="17">
        <v>200.0000</v>
      </c>
      <c r="I750" s="17">
        <v>0</v>
      </c>
    </row>
    <row r="751" ht="10.95" customHeight="true" customFormat="true" s="9">
      <c r="A751" s="15">
        <v>46270</v>
      </c>
      <c r="B751" s="16" t="s">
        <v>100</v>
      </c>
      <c r="C751" s="16" t="s">
        <v>86</v>
      </c>
      <c r="D751" s="16" t="s">
        <v>125</v>
      </c>
      <c r="E751" s="17">
        <v>227.2700</v>
      </c>
      <c r="F751" s="17">
        <v>0</v>
      </c>
      <c r="G751" s="17">
        <f ca="1">((G750 + F751) - E751)</f>
        <v>0</v>
      </c>
      <c r="H751" s="17">
        <v>-227.2700</v>
      </c>
      <c r="I751" s="17">
        <v>0</v>
      </c>
    </row>
    <row r="752" ht="10.95" customHeight="true" customFormat="true" s="9">
      <c r="A752" s="15">
        <v>46270</v>
      </c>
      <c r="B752" s="16" t="s">
        <v>100</v>
      </c>
      <c r="C752" s="16" t="s">
        <v>86</v>
      </c>
      <c r="D752" s="16" t="s">
        <v>125</v>
      </c>
      <c r="E752" s="17">
        <v>0</v>
      </c>
      <c r="F752" s="17">
        <v>227.2700</v>
      </c>
      <c r="G752" s="17">
        <f ca="1">((G751 + F752) - E752)</f>
        <v>0</v>
      </c>
      <c r="H752" s="17">
        <v>227.2700</v>
      </c>
      <c r="I752" s="17">
        <v>0</v>
      </c>
    </row>
    <row r="753" ht="10.95" customHeight="true" customFormat="true" s="9">
      <c r="A753" s="15">
        <v>46281</v>
      </c>
      <c r="B753" s="16" t="s">
        <v>100</v>
      </c>
      <c r="C753" s="16" t="s">
        <v>86</v>
      </c>
      <c r="D753" s="16" t="s">
        <v>125</v>
      </c>
      <c r="E753" s="17">
        <v>0</v>
      </c>
      <c r="F753" s="17">
        <v>157.7300</v>
      </c>
      <c r="G753" s="17">
        <f ca="1">((G752 + F753) - E753)</f>
        <v>0</v>
      </c>
      <c r="H753" s="17">
        <v>157.7300</v>
      </c>
      <c r="I753" s="17">
        <v>0</v>
      </c>
    </row>
    <row r="754" ht="10.95" customHeight="true" customFormat="true" s="9">
      <c r="A754" s="15">
        <v>46281</v>
      </c>
      <c r="B754" s="16" t="s">
        <v>100</v>
      </c>
      <c r="C754" s="16" t="s">
        <v>86</v>
      </c>
      <c r="D754" s="16" t="s">
        <v>125</v>
      </c>
      <c r="E754" s="17">
        <v>157.7300</v>
      </c>
      <c r="F754" s="17">
        <v>0</v>
      </c>
      <c r="G754" s="17">
        <f ca="1">((G753 + F754) - E754)</f>
        <v>0</v>
      </c>
      <c r="H754" s="17">
        <v>-157.7300</v>
      </c>
      <c r="I754" s="17">
        <v>0</v>
      </c>
    </row>
    <row r="755" ht="10.95" customHeight="true" customFormat="true" s="9">
      <c r="A755" s="15">
        <v>46351</v>
      </c>
      <c r="B755" s="16" t="s">
        <v>100</v>
      </c>
      <c r="C755" s="16" t="s">
        <v>15</v>
      </c>
      <c r="D755" s="16" t="s">
        <v>117</v>
      </c>
      <c r="E755" s="17">
        <v>0</v>
      </c>
      <c r="F755" s="17">
        <v>1155.0000</v>
      </c>
      <c r="G755" s="17">
        <f ca="1">((G754 + F755) - E755)</f>
        <v>0</v>
      </c>
      <c r="H755" s="17">
        <v>1155.0000</v>
      </c>
      <c r="I755" s="17">
        <v>0</v>
      </c>
    </row>
    <row r="756" ht="10.95" customHeight="true" customFormat="true" s="9">
      <c r="A756" s="15">
        <v>46351</v>
      </c>
      <c r="B756" s="16" t="s">
        <v>100</v>
      </c>
      <c r="C756" s="16" t="s">
        <v>15</v>
      </c>
      <c r="D756" s="16" t="s">
        <v>117</v>
      </c>
      <c r="E756" s="17">
        <v>1155.0000</v>
      </c>
      <c r="F756" s="17">
        <v>0</v>
      </c>
      <c r="G756" s="17">
        <f ca="1">((G755 + F756) - E756)</f>
        <v>0</v>
      </c>
      <c r="H756" s="17">
        <v>-1155.0000</v>
      </c>
      <c r="I756" s="17">
        <v>0</v>
      </c>
    </row>
    <row r="757" ht="10.95" customHeight="true" customFormat="true" s="9">
      <c r="A757" s="18" t="s">
        <v>336</v>
      </c>
      <c r="B757" s="18"/>
      <c r="C757" s="18"/>
      <c r="D757" s="18"/>
      <c r="E757" s="19">
        <f ca="1">SUM(E741:E756)</f>
        <v>0</v>
      </c>
      <c r="F757" s="19">
        <f ca="1">SUM(F741:F756)</f>
        <v>0</v>
      </c>
      <c r="G757" s="19">
        <f ca="1">G756</f>
        <v>0</v>
      </c>
      <c r="H757" s="19">
        <f ca="1">SUM(H741:H756)</f>
        <v>0</v>
      </c>
      <c r="I757" s="19">
        <f ca="1">SUM(I741:I756)</f>
        <v>0</v>
      </c>
    </row>
    <row r="758" ht="10.95" customHeight="true" customFormat="true" s="9">
      <c r="A758" s="10" t="s">
        <v>83</v>
      </c>
      <c r="B758" s="10"/>
      <c r="C758" s="10"/>
      <c r="D758" s="10"/>
      <c r="E758" s="11">
        <v>0</v>
      </c>
      <c r="F758" s="11">
        <v>0</v>
      </c>
      <c r="G758" s="11">
        <f ca="1">G756</f>
        <v>0</v>
      </c>
      <c r="H758" s="11">
        <v>0</v>
      </c>
      <c r="I758" s="11">
        <v>0</v>
      </c>
    </row>
    <row r="759" ht="13.35" customHeight="true"/>
    <row r="760" ht="12.1" customHeight="true" customFormat="true" s="5">
      <c r="A760" s="20" t="s">
        <v>337</v>
      </c>
      <c r="B760" s="20"/>
      <c r="C760" s="20"/>
      <c r="D760" s="20"/>
      <c r="E760" s="20"/>
      <c r="F760" s="20"/>
      <c r="G760" s="20"/>
      <c r="H760" s="20"/>
      <c r="I760" s="20"/>
    </row>
    <row r="761" ht="10.95" customHeight="true" customFormat="true" s="9">
      <c r="A761" s="12">
        <v>46221</v>
      </c>
      <c r="B761" s="13" t="s">
        <v>14</v>
      </c>
      <c r="C761" s="13" t="s">
        <v>20</v>
      </c>
      <c r="D761" s="13" t="s">
        <v>21</v>
      </c>
      <c r="E761" s="14">
        <v>199.0000</v>
      </c>
      <c r="F761" s="14">
        <v>0</v>
      </c>
      <c r="G761" s="14">
        <f ca="1">(E761 - F761)</f>
        <v>0</v>
      </c>
      <c r="H761" s="14">
        <v>218.9000</v>
      </c>
      <c r="I761" s="14">
        <v>19.9000</v>
      </c>
    </row>
    <row r="762" ht="10.95" customHeight="true" customFormat="true" s="9">
      <c r="A762" s="15">
        <v>46250</v>
      </c>
      <c r="B762" s="16" t="s">
        <v>249</v>
      </c>
      <c r="C762" s="16" t="s">
        <v>250</v>
      </c>
      <c r="D762" s="16"/>
      <c r="E762" s="17">
        <v>162.7300</v>
      </c>
      <c r="F762" s="17">
        <v>0</v>
      </c>
      <c r="G762" s="17">
        <f ca="1">((G761 + E762) - F762)</f>
        <v>0</v>
      </c>
      <c r="H762" s="17">
        <v>179.0000</v>
      </c>
      <c r="I762" s="17">
        <v>16.2700</v>
      </c>
    </row>
    <row r="763" ht="10.95" customHeight="true" customFormat="true" s="9">
      <c r="A763" s="15">
        <v>46250</v>
      </c>
      <c r="B763" s="16" t="s">
        <v>249</v>
      </c>
      <c r="C763" s="16" t="s">
        <v>250</v>
      </c>
      <c r="D763" s="16"/>
      <c r="E763" s="17">
        <v>27.6800</v>
      </c>
      <c r="F763" s="17">
        <v>0</v>
      </c>
      <c r="G763" s="17">
        <f ca="1">((G762 + E763) - F763)</f>
        <v>0</v>
      </c>
      <c r="H763" s="17">
        <v>30.4500</v>
      </c>
      <c r="I763" s="17">
        <v>2.7700</v>
      </c>
    </row>
    <row r="764" ht="10.95" customHeight="true" customFormat="true" s="9">
      <c r="A764" s="15">
        <v>46250</v>
      </c>
      <c r="B764" s="16" t="s">
        <v>249</v>
      </c>
      <c r="C764" s="16" t="s">
        <v>250</v>
      </c>
      <c r="D764" s="16"/>
      <c r="E764" s="17">
        <v>72.7300</v>
      </c>
      <c r="F764" s="17">
        <v>0</v>
      </c>
      <c r="G764" s="17">
        <f ca="1">((G763 + E764) - F764)</f>
        <v>0</v>
      </c>
      <c r="H764" s="17">
        <v>80.0000</v>
      </c>
      <c r="I764" s="17">
        <v>7.2700</v>
      </c>
    </row>
    <row r="765" ht="10.95" customHeight="true" customFormat="true" s="9">
      <c r="A765" s="15">
        <v>46283</v>
      </c>
      <c r="B765" s="16" t="s">
        <v>162</v>
      </c>
      <c r="C765" s="16" t="s">
        <v>210</v>
      </c>
      <c r="D765" s="16"/>
      <c r="E765" s="17">
        <v>10.9100</v>
      </c>
      <c r="F765" s="17">
        <v>0</v>
      </c>
      <c r="G765" s="17">
        <f ca="1">((G764 + E765) - F765)</f>
        <v>0</v>
      </c>
      <c r="H765" s="17">
        <v>12.0000</v>
      </c>
      <c r="I765" s="17">
        <v>1.0900</v>
      </c>
    </row>
    <row r="766" ht="10.95" customHeight="true" customFormat="true" s="9">
      <c r="A766" s="15">
        <v>46284</v>
      </c>
      <c r="B766" s="16" t="s">
        <v>162</v>
      </c>
      <c r="C766" s="16" t="s">
        <v>210</v>
      </c>
      <c r="D766" s="16"/>
      <c r="E766" s="17">
        <v>10.9100</v>
      </c>
      <c r="F766" s="17">
        <v>0</v>
      </c>
      <c r="G766" s="17">
        <f ca="1">((G765 + E766) - F766)</f>
        <v>0</v>
      </c>
      <c r="H766" s="17">
        <v>12.0000</v>
      </c>
      <c r="I766" s="17">
        <v>1.0900</v>
      </c>
    </row>
    <row r="767" ht="10.95" customHeight="true" customFormat="true" s="9">
      <c r="A767" s="15">
        <v>46285</v>
      </c>
      <c r="B767" s="16" t="s">
        <v>162</v>
      </c>
      <c r="C767" s="16" t="s">
        <v>210</v>
      </c>
      <c r="D767" s="16"/>
      <c r="E767" s="17">
        <v>10.9100</v>
      </c>
      <c r="F767" s="17">
        <v>0</v>
      </c>
      <c r="G767" s="17">
        <f ca="1">((G766 + E767) - F767)</f>
        <v>0</v>
      </c>
      <c r="H767" s="17">
        <v>12.0000</v>
      </c>
      <c r="I767" s="17">
        <v>1.0900</v>
      </c>
    </row>
    <row r="768" ht="10.95" customHeight="true" customFormat="true" s="9">
      <c r="A768" s="15">
        <v>46286</v>
      </c>
      <c r="B768" s="16" t="s">
        <v>162</v>
      </c>
      <c r="C768" s="16" t="s">
        <v>210</v>
      </c>
      <c r="D768" s="16"/>
      <c r="E768" s="17">
        <v>10.9100</v>
      </c>
      <c r="F768" s="17">
        <v>0</v>
      </c>
      <c r="G768" s="17">
        <f ca="1">((G767 + E768) - F768)</f>
        <v>0</v>
      </c>
      <c r="H768" s="17">
        <v>12.0000</v>
      </c>
      <c r="I768" s="17">
        <v>1.0900</v>
      </c>
    </row>
    <row r="769" ht="10.95" customHeight="true" customFormat="true" s="9">
      <c r="A769" s="15">
        <v>46288</v>
      </c>
      <c r="B769" s="16" t="s">
        <v>162</v>
      </c>
      <c r="C769" s="16" t="s">
        <v>210</v>
      </c>
      <c r="D769" s="16"/>
      <c r="E769" s="17">
        <v>10.9100</v>
      </c>
      <c r="F769" s="17">
        <v>0</v>
      </c>
      <c r="G769" s="17">
        <f ca="1">((G768 + E769) - F769)</f>
        <v>0</v>
      </c>
      <c r="H769" s="17">
        <v>12.0000</v>
      </c>
      <c r="I769" s="17">
        <v>1.0900</v>
      </c>
    </row>
    <row r="770" ht="10.95" customHeight="true" customFormat="true" s="9">
      <c r="A770" s="15">
        <v>46289</v>
      </c>
      <c r="B770" s="16" t="s">
        <v>162</v>
      </c>
      <c r="C770" s="16" t="s">
        <v>210</v>
      </c>
      <c r="D770" s="16"/>
      <c r="E770" s="17">
        <v>10.9100</v>
      </c>
      <c r="F770" s="17">
        <v>0</v>
      </c>
      <c r="G770" s="17">
        <f ca="1">((G769 + E770) - F770)</f>
        <v>0</v>
      </c>
      <c r="H770" s="17">
        <v>12.0000</v>
      </c>
      <c r="I770" s="17">
        <v>1.0900</v>
      </c>
    </row>
    <row r="771" ht="10.95" customHeight="true" customFormat="true" s="9">
      <c r="A771" s="15">
        <v>46290</v>
      </c>
      <c r="B771" s="16" t="s">
        <v>162</v>
      </c>
      <c r="C771" s="16" t="s">
        <v>210</v>
      </c>
      <c r="D771" s="16"/>
      <c r="E771" s="17">
        <v>10.9100</v>
      </c>
      <c r="F771" s="17">
        <v>0</v>
      </c>
      <c r="G771" s="17">
        <f ca="1">((G770 + E771) - F771)</f>
        <v>0</v>
      </c>
      <c r="H771" s="17">
        <v>12.0000</v>
      </c>
      <c r="I771" s="17">
        <v>1.0900</v>
      </c>
    </row>
    <row r="772" ht="10.95" customHeight="true" customFormat="true" s="9">
      <c r="A772" s="15">
        <v>46291</v>
      </c>
      <c r="B772" s="16" t="s">
        <v>162</v>
      </c>
      <c r="C772" s="16" t="s">
        <v>210</v>
      </c>
      <c r="D772" s="16"/>
      <c r="E772" s="17">
        <v>10.9100</v>
      </c>
      <c r="F772" s="17">
        <v>0</v>
      </c>
      <c r="G772" s="17">
        <f ca="1">((G771 + E772) - F772)</f>
        <v>0</v>
      </c>
      <c r="H772" s="17">
        <v>12.0000</v>
      </c>
      <c r="I772" s="17">
        <v>1.0900</v>
      </c>
    </row>
    <row r="773" ht="10.95" customHeight="true" customFormat="true" s="9">
      <c r="A773" s="15">
        <v>46292</v>
      </c>
      <c r="B773" s="16" t="s">
        <v>162</v>
      </c>
      <c r="C773" s="16" t="s">
        <v>210</v>
      </c>
      <c r="D773" s="16"/>
      <c r="E773" s="17">
        <v>10.9100</v>
      </c>
      <c r="F773" s="17">
        <v>0</v>
      </c>
      <c r="G773" s="17">
        <f ca="1">((G772 + E773) - F773)</f>
        <v>0</v>
      </c>
      <c r="H773" s="17">
        <v>12.0000</v>
      </c>
      <c r="I773" s="17">
        <v>1.0900</v>
      </c>
    </row>
    <row r="774" ht="10.95" customHeight="true" customFormat="true" s="9">
      <c r="A774" s="15">
        <v>46294</v>
      </c>
      <c r="B774" s="16" t="s">
        <v>162</v>
      </c>
      <c r="C774" s="16" t="s">
        <v>210</v>
      </c>
      <c r="D774" s="16"/>
      <c r="E774" s="17">
        <v>10.9100</v>
      </c>
      <c r="F774" s="17">
        <v>0</v>
      </c>
      <c r="G774" s="17">
        <f ca="1">((G773 + E774) - F774)</f>
        <v>0</v>
      </c>
      <c r="H774" s="17">
        <v>12.0000</v>
      </c>
      <c r="I774" s="17">
        <v>1.0900</v>
      </c>
    </row>
    <row r="775" ht="10.95" customHeight="true" customFormat="true" s="9">
      <c r="A775" s="15">
        <v>46296</v>
      </c>
      <c r="B775" s="16" t="s">
        <v>162</v>
      </c>
      <c r="C775" s="16" t="s">
        <v>210</v>
      </c>
      <c r="D775" s="16"/>
      <c r="E775" s="17">
        <v>10.9100</v>
      </c>
      <c r="F775" s="17">
        <v>0</v>
      </c>
      <c r="G775" s="17">
        <f ca="1">((G774 + E775) - F775)</f>
        <v>0</v>
      </c>
      <c r="H775" s="17">
        <v>12.0000</v>
      </c>
      <c r="I775" s="17">
        <v>1.0900</v>
      </c>
    </row>
    <row r="776" ht="10.95" customHeight="true" customFormat="true" s="9">
      <c r="A776" s="15">
        <v>46300</v>
      </c>
      <c r="B776" s="16" t="s">
        <v>162</v>
      </c>
      <c r="C776" s="16" t="s">
        <v>210</v>
      </c>
      <c r="D776" s="16"/>
      <c r="E776" s="17">
        <v>10.9100</v>
      </c>
      <c r="F776" s="17">
        <v>0</v>
      </c>
      <c r="G776" s="17">
        <f ca="1">((G775 + E776) - F776)</f>
        <v>0</v>
      </c>
      <c r="H776" s="17">
        <v>12.0000</v>
      </c>
      <c r="I776" s="17">
        <v>1.0900</v>
      </c>
    </row>
    <row r="777" ht="10.95" customHeight="true" customFormat="true" s="9">
      <c r="A777" s="15">
        <v>46301</v>
      </c>
      <c r="B777" s="16" t="s">
        <v>162</v>
      </c>
      <c r="C777" s="16" t="s">
        <v>210</v>
      </c>
      <c r="D777" s="16"/>
      <c r="E777" s="17">
        <v>10.9100</v>
      </c>
      <c r="F777" s="17">
        <v>0</v>
      </c>
      <c r="G777" s="17">
        <f ca="1">((G776 + E777) - F777)</f>
        <v>0</v>
      </c>
      <c r="H777" s="17">
        <v>12.0000</v>
      </c>
      <c r="I777" s="17">
        <v>1.0900</v>
      </c>
    </row>
    <row r="778" ht="10.95" customHeight="true" customFormat="true" s="9">
      <c r="A778" s="15">
        <v>46304</v>
      </c>
      <c r="B778" s="16" t="s">
        <v>162</v>
      </c>
      <c r="C778" s="16" t="s">
        <v>210</v>
      </c>
      <c r="D778" s="16"/>
      <c r="E778" s="17">
        <v>10.9100</v>
      </c>
      <c r="F778" s="17">
        <v>0</v>
      </c>
      <c r="G778" s="17">
        <f ca="1">((G777 + E778) - F778)</f>
        <v>0</v>
      </c>
      <c r="H778" s="17">
        <v>12.0000</v>
      </c>
      <c r="I778" s="17">
        <v>1.0900</v>
      </c>
    </row>
    <row r="779" ht="10.95" customHeight="true" customFormat="true" s="9">
      <c r="A779" s="15">
        <v>46307</v>
      </c>
      <c r="B779" s="16" t="s">
        <v>162</v>
      </c>
      <c r="C779" s="16" t="s">
        <v>210</v>
      </c>
      <c r="D779" s="16"/>
      <c r="E779" s="17">
        <v>10.9100</v>
      </c>
      <c r="F779" s="17">
        <v>0</v>
      </c>
      <c r="G779" s="17">
        <f ca="1">((G778 + E779) - F779)</f>
        <v>0</v>
      </c>
      <c r="H779" s="17">
        <v>12.0000</v>
      </c>
      <c r="I779" s="17">
        <v>1.0900</v>
      </c>
    </row>
    <row r="780" ht="10.95" customHeight="true" customFormat="true" s="9">
      <c r="A780" s="15">
        <v>46308</v>
      </c>
      <c r="B780" s="16" t="s">
        <v>162</v>
      </c>
      <c r="C780" s="16" t="s">
        <v>210</v>
      </c>
      <c r="D780" s="16"/>
      <c r="E780" s="17">
        <v>10.9100</v>
      </c>
      <c r="F780" s="17">
        <v>0</v>
      </c>
      <c r="G780" s="17">
        <f ca="1">((G779 + E780) - F780)</f>
        <v>0</v>
      </c>
      <c r="H780" s="17">
        <v>12.0000</v>
      </c>
      <c r="I780" s="17">
        <v>1.0900</v>
      </c>
    </row>
    <row r="781" ht="10.95" customHeight="true" customFormat="true" s="9">
      <c r="A781" s="15">
        <v>46312</v>
      </c>
      <c r="B781" s="16" t="s">
        <v>14</v>
      </c>
      <c r="C781" s="16" t="s">
        <v>338</v>
      </c>
      <c r="D781" s="16" t="s">
        <v>81</v>
      </c>
      <c r="E781" s="17">
        <v>220.0000</v>
      </c>
      <c r="F781" s="17">
        <v>0</v>
      </c>
      <c r="G781" s="17">
        <f ca="1">((G780 + E781) - F781)</f>
        <v>0</v>
      </c>
      <c r="H781" s="17">
        <v>242.0000</v>
      </c>
      <c r="I781" s="17">
        <v>22.0000</v>
      </c>
    </row>
    <row r="782" ht="10.95" customHeight="true" customFormat="true" s="9">
      <c r="A782" s="18" t="s">
        <v>339</v>
      </c>
      <c r="B782" s="18"/>
      <c r="C782" s="18"/>
      <c r="D782" s="18"/>
      <c r="E782" s="19">
        <f ca="1">SUM(E761:E781)</f>
        <v>0</v>
      </c>
      <c r="F782" s="19">
        <f ca="1">SUM(F761:F781)</f>
        <v>0</v>
      </c>
      <c r="G782" s="19">
        <f ca="1">G781</f>
        <v>0</v>
      </c>
      <c r="H782" s="19">
        <f ca="1">SUM(H761:H781)</f>
        <v>0</v>
      </c>
      <c r="I782" s="19">
        <f ca="1">SUM(I761:I781)</f>
        <v>0</v>
      </c>
    </row>
    <row r="783" ht="13.35" customHeight="true"/>
    <row r="784" ht="12.1" customHeight="true" customFormat="true" s="5">
      <c r="A784" s="8" t="s">
        <v>340</v>
      </c>
      <c r="B784" s="8"/>
      <c r="C784" s="8"/>
      <c r="D784" s="8"/>
      <c r="E784" s="8"/>
      <c r="F784" s="8"/>
      <c r="G784" s="8"/>
      <c r="H784" s="8"/>
      <c r="I784" s="8"/>
    </row>
    <row r="785" ht="10.95" customHeight="true" customFormat="true" s="9">
      <c r="A785" s="10" t="s">
        <v>13</v>
      </c>
      <c r="B785" s="10"/>
      <c r="C785" s="10"/>
      <c r="D785" s="10"/>
      <c r="E785" s="11">
        <v>0</v>
      </c>
      <c r="F785" s="11">
        <v>0</v>
      </c>
      <c r="G785" s="11">
        <f ca="1">(F785 - E785)</f>
        <v>0</v>
      </c>
      <c r="H785" s="11">
        <v>0</v>
      </c>
      <c r="I785" s="11">
        <v>0</v>
      </c>
    </row>
    <row r="786" ht="10.95" customHeight="true" customFormat="true" s="9">
      <c r="A786" s="12">
        <v>46250</v>
      </c>
      <c r="B786" s="13" t="s">
        <v>249</v>
      </c>
      <c r="C786" s="13" t="s">
        <v>250</v>
      </c>
      <c r="D786" s="13"/>
      <c r="E786" s="14">
        <v>0</v>
      </c>
      <c r="F786" s="14">
        <v>296.9500</v>
      </c>
      <c r="G786" s="14">
        <f ca="1">((G785 + F786) - E786)</f>
        <v>0</v>
      </c>
      <c r="H786" s="14">
        <v>296.9500</v>
      </c>
      <c r="I786" s="14">
        <v>0</v>
      </c>
    </row>
    <row r="787" ht="10.95" customHeight="true" customFormat="true" s="9">
      <c r="A787" s="15">
        <v>46250</v>
      </c>
      <c r="B787" s="16" t="s">
        <v>249</v>
      </c>
      <c r="C787" s="16" t="s">
        <v>251</v>
      </c>
      <c r="D787" s="16"/>
      <c r="E787" s="17">
        <v>0</v>
      </c>
      <c r="F787" s="17">
        <v>8.2000</v>
      </c>
      <c r="G787" s="17">
        <f ca="1">((G786 + F787) - E787)</f>
        <v>0</v>
      </c>
      <c r="H787" s="17">
        <v>8.2000</v>
      </c>
      <c r="I787" s="17">
        <v>0</v>
      </c>
    </row>
    <row r="788" ht="10.95" customHeight="true" customFormat="true" s="9">
      <c r="A788" s="15">
        <v>46281</v>
      </c>
      <c r="B788" s="16" t="s">
        <v>205</v>
      </c>
      <c r="C788" s="16" t="s">
        <v>206</v>
      </c>
      <c r="D788" s="16"/>
      <c r="E788" s="17">
        <v>8.2000</v>
      </c>
      <c r="F788" s="17">
        <v>0</v>
      </c>
      <c r="G788" s="17">
        <f ca="1">((G787 + F788) - E788)</f>
        <v>0</v>
      </c>
      <c r="H788" s="17">
        <v>-8.2000</v>
      </c>
      <c r="I788" s="17">
        <v>0</v>
      </c>
    </row>
    <row r="789" ht="10.95" customHeight="true" customFormat="true" s="9">
      <c r="A789" s="15">
        <v>46281</v>
      </c>
      <c r="B789" s="16" t="s">
        <v>205</v>
      </c>
      <c r="C789" s="16" t="s">
        <v>208</v>
      </c>
      <c r="D789" s="16"/>
      <c r="E789" s="17">
        <v>296.9500</v>
      </c>
      <c r="F789" s="17">
        <v>0</v>
      </c>
      <c r="G789" s="17">
        <f ca="1">((G788 + F789) - E789)</f>
        <v>0</v>
      </c>
      <c r="H789" s="17">
        <v>-296.9500</v>
      </c>
      <c r="I789" s="17">
        <v>0</v>
      </c>
    </row>
    <row r="790" ht="10.95" customHeight="true" customFormat="true" s="9">
      <c r="A790" s="18" t="s">
        <v>341</v>
      </c>
      <c r="B790" s="18"/>
      <c r="C790" s="18"/>
      <c r="D790" s="18"/>
      <c r="E790" s="19">
        <f ca="1">SUM(E786:E789)</f>
        <v>0</v>
      </c>
      <c r="F790" s="19">
        <f ca="1">SUM(F786:F789)</f>
        <v>0</v>
      </c>
      <c r="G790" s="19">
        <f ca="1">G789</f>
        <v>0</v>
      </c>
      <c r="H790" s="19">
        <f ca="1">SUM(H786:H789)</f>
        <v>0</v>
      </c>
      <c r="I790" s="19">
        <f ca="1">SUM(I786:I789)</f>
        <v>0</v>
      </c>
    </row>
    <row r="791" ht="10.95" customHeight="true" customFormat="true" s="9">
      <c r="A791" s="10" t="s">
        <v>83</v>
      </c>
      <c r="B791" s="10"/>
      <c r="C791" s="10"/>
      <c r="D791" s="10"/>
      <c r="E791" s="11">
        <v>0</v>
      </c>
      <c r="F791" s="11">
        <v>0</v>
      </c>
      <c r="G791" s="11">
        <f ca="1">G789</f>
        <v>0</v>
      </c>
      <c r="H791" s="11">
        <v>0</v>
      </c>
      <c r="I791" s="11">
        <v>0</v>
      </c>
    </row>
    <row r="792" ht="13.35" customHeight="true"/>
    <row r="793" ht="12.1" customHeight="true" customFormat="true" s="5">
      <c r="A793" s="20" t="s">
        <v>342</v>
      </c>
      <c r="B793" s="20"/>
      <c r="C793" s="20"/>
      <c r="D793" s="20"/>
      <c r="E793" s="20"/>
      <c r="F793" s="20"/>
      <c r="G793" s="20"/>
      <c r="H793" s="20"/>
      <c r="I793" s="20"/>
    </row>
    <row r="794" ht="10.95" customHeight="true" customFormat="true" s="9">
      <c r="A794" s="12">
        <v>46236</v>
      </c>
      <c r="B794" s="13" t="s">
        <v>162</v>
      </c>
      <c r="C794" s="13" t="s">
        <v>184</v>
      </c>
      <c r="D794" s="13" t="s">
        <v>185</v>
      </c>
      <c r="E794" s="14">
        <v>2400.0000</v>
      </c>
      <c r="F794" s="14">
        <v>0</v>
      </c>
      <c r="G794" s="14">
        <f ca="1">(E794 - F794)</f>
        <v>0</v>
      </c>
      <c r="H794" s="14">
        <v>2400.0000</v>
      </c>
      <c r="I794" s="14">
        <v>0</v>
      </c>
    </row>
    <row r="795" ht="10.95" customHeight="true" customFormat="true" s="9">
      <c r="A795" s="15">
        <v>46236</v>
      </c>
      <c r="B795" s="16" t="s">
        <v>162</v>
      </c>
      <c r="C795" s="16" t="s">
        <v>186</v>
      </c>
      <c r="D795" s="16" t="s">
        <v>185</v>
      </c>
      <c r="E795" s="17">
        <v>2500.0000</v>
      </c>
      <c r="F795" s="17">
        <v>0</v>
      </c>
      <c r="G795" s="17">
        <f ca="1">((G794 + E795) - F795)</f>
        <v>0</v>
      </c>
      <c r="H795" s="17">
        <v>2500.0000</v>
      </c>
      <c r="I795" s="17">
        <v>0</v>
      </c>
    </row>
    <row r="796" ht="10.95" customHeight="true" customFormat="true" s="9">
      <c r="A796" s="15">
        <v>46236</v>
      </c>
      <c r="B796" s="16" t="s">
        <v>162</v>
      </c>
      <c r="C796" s="16" t="s">
        <v>187</v>
      </c>
      <c r="D796" s="16" t="s">
        <v>185</v>
      </c>
      <c r="E796" s="17">
        <v>1800.0000</v>
      </c>
      <c r="F796" s="17">
        <v>0</v>
      </c>
      <c r="G796" s="17">
        <f ca="1">((G795 + E796) - F796)</f>
        <v>0</v>
      </c>
      <c r="H796" s="17">
        <v>1800.0000</v>
      </c>
      <c r="I796" s="17">
        <v>0</v>
      </c>
    </row>
    <row r="797" ht="10.95" customHeight="true" customFormat="true" s="9">
      <c r="A797" s="15">
        <v>46250</v>
      </c>
      <c r="B797" s="16" t="s">
        <v>162</v>
      </c>
      <c r="C797" s="16" t="s">
        <v>187</v>
      </c>
      <c r="D797" s="16" t="s">
        <v>185</v>
      </c>
      <c r="E797" s="17">
        <v>1800.0000</v>
      </c>
      <c r="F797" s="17">
        <v>0</v>
      </c>
      <c r="G797" s="17">
        <f ca="1">((G796 + E797) - F797)</f>
        <v>0</v>
      </c>
      <c r="H797" s="17">
        <v>1800.0000</v>
      </c>
      <c r="I797" s="17">
        <v>0</v>
      </c>
    </row>
    <row r="798" ht="10.95" customHeight="true" customFormat="true" s="9">
      <c r="A798" s="15">
        <v>46250</v>
      </c>
      <c r="B798" s="16" t="s">
        <v>162</v>
      </c>
      <c r="C798" s="16" t="s">
        <v>184</v>
      </c>
      <c r="D798" s="16" t="s">
        <v>185</v>
      </c>
      <c r="E798" s="17">
        <v>2400.0000</v>
      </c>
      <c r="F798" s="17">
        <v>0</v>
      </c>
      <c r="G798" s="17">
        <f ca="1">((G797 + E798) - F798)</f>
        <v>0</v>
      </c>
      <c r="H798" s="17">
        <v>2400.0000</v>
      </c>
      <c r="I798" s="17">
        <v>0</v>
      </c>
    </row>
    <row r="799" ht="10.95" customHeight="true" customFormat="true" s="9">
      <c r="A799" s="15">
        <v>46250</v>
      </c>
      <c r="B799" s="16" t="s">
        <v>162</v>
      </c>
      <c r="C799" s="16" t="s">
        <v>186</v>
      </c>
      <c r="D799" s="16" t="s">
        <v>185</v>
      </c>
      <c r="E799" s="17">
        <v>2500.0000</v>
      </c>
      <c r="F799" s="17">
        <v>0</v>
      </c>
      <c r="G799" s="17">
        <f ca="1">((G798 + E799) - F799)</f>
        <v>0</v>
      </c>
      <c r="H799" s="17">
        <v>2500.0000</v>
      </c>
      <c r="I799" s="17">
        <v>0</v>
      </c>
    </row>
    <row r="800" ht="10.95" customHeight="true" customFormat="true" s="9">
      <c r="A800" s="15">
        <v>46264</v>
      </c>
      <c r="B800" s="16" t="s">
        <v>162</v>
      </c>
      <c r="C800" s="16" t="s">
        <v>184</v>
      </c>
      <c r="D800" s="16"/>
      <c r="E800" s="17">
        <v>2400.0000</v>
      </c>
      <c r="F800" s="17">
        <v>0</v>
      </c>
      <c r="G800" s="17">
        <f ca="1">((G799 + E800) - F800)</f>
        <v>0</v>
      </c>
      <c r="H800" s="17">
        <v>2400.0000</v>
      </c>
      <c r="I800" s="17">
        <v>0</v>
      </c>
    </row>
    <row r="801" ht="10.95" customHeight="true" customFormat="true" s="9">
      <c r="A801" s="15">
        <v>46264</v>
      </c>
      <c r="B801" s="16" t="s">
        <v>162</v>
      </c>
      <c r="C801" s="16" t="s">
        <v>186</v>
      </c>
      <c r="D801" s="16"/>
      <c r="E801" s="17">
        <v>2500.0000</v>
      </c>
      <c r="F801" s="17">
        <v>0</v>
      </c>
      <c r="G801" s="17">
        <f ca="1">((G800 + E801) - F801)</f>
        <v>0</v>
      </c>
      <c r="H801" s="17">
        <v>2500.0000</v>
      </c>
      <c r="I801" s="17">
        <v>0</v>
      </c>
    </row>
    <row r="802" ht="10.95" customHeight="true" customFormat="true" s="9">
      <c r="A802" s="15">
        <v>46264</v>
      </c>
      <c r="B802" s="16" t="s">
        <v>162</v>
      </c>
      <c r="C802" s="16" t="s">
        <v>187</v>
      </c>
      <c r="D802" s="16"/>
      <c r="E802" s="17">
        <v>1800.0000</v>
      </c>
      <c r="F802" s="17">
        <v>0</v>
      </c>
      <c r="G802" s="17">
        <f ca="1">((G801 + E802) - F802)</f>
        <v>0</v>
      </c>
      <c r="H802" s="17">
        <v>1800.0000</v>
      </c>
      <c r="I802" s="17">
        <v>0</v>
      </c>
    </row>
    <row r="803" ht="10.95" customHeight="true" customFormat="true" s="9">
      <c r="A803" s="15">
        <v>46278</v>
      </c>
      <c r="B803" s="16" t="s">
        <v>162</v>
      </c>
      <c r="C803" s="16" t="s">
        <v>186</v>
      </c>
      <c r="D803" s="16" t="s">
        <v>185</v>
      </c>
      <c r="E803" s="17">
        <v>2500.0000</v>
      </c>
      <c r="F803" s="17">
        <v>0</v>
      </c>
      <c r="G803" s="17">
        <f ca="1">((G802 + E803) - F803)</f>
        <v>0</v>
      </c>
      <c r="H803" s="17">
        <v>2500.0000</v>
      </c>
      <c r="I803" s="17">
        <v>0</v>
      </c>
    </row>
    <row r="804" ht="10.95" customHeight="true" customFormat="true" s="9">
      <c r="A804" s="15">
        <v>46278</v>
      </c>
      <c r="B804" s="16" t="s">
        <v>162</v>
      </c>
      <c r="C804" s="16" t="s">
        <v>184</v>
      </c>
      <c r="D804" s="16" t="s">
        <v>185</v>
      </c>
      <c r="E804" s="17">
        <v>2400.0000</v>
      </c>
      <c r="F804" s="17">
        <v>0</v>
      </c>
      <c r="G804" s="17">
        <f ca="1">((G803 + E804) - F804)</f>
        <v>0</v>
      </c>
      <c r="H804" s="17">
        <v>2400.0000</v>
      </c>
      <c r="I804" s="17">
        <v>0</v>
      </c>
    </row>
    <row r="805" ht="10.95" customHeight="true" customFormat="true" s="9">
      <c r="A805" s="15">
        <v>46278</v>
      </c>
      <c r="B805" s="16" t="s">
        <v>162</v>
      </c>
      <c r="C805" s="16" t="s">
        <v>187</v>
      </c>
      <c r="D805" s="16" t="s">
        <v>185</v>
      </c>
      <c r="E805" s="17">
        <v>1800.0000</v>
      </c>
      <c r="F805" s="17">
        <v>0</v>
      </c>
      <c r="G805" s="17">
        <f ca="1">((G804 + E805) - F805)</f>
        <v>0</v>
      </c>
      <c r="H805" s="17">
        <v>1800.0000</v>
      </c>
      <c r="I805" s="17">
        <v>0</v>
      </c>
    </row>
    <row r="806" ht="10.95" customHeight="true" customFormat="true" s="9">
      <c r="A806" s="15">
        <v>46292</v>
      </c>
      <c r="B806" s="16" t="s">
        <v>162</v>
      </c>
      <c r="C806" s="16" t="s">
        <v>184</v>
      </c>
      <c r="D806" s="16" t="s">
        <v>185</v>
      </c>
      <c r="E806" s="17">
        <v>2400.0000</v>
      </c>
      <c r="F806" s="17">
        <v>0</v>
      </c>
      <c r="G806" s="17">
        <f ca="1">((G805 + E806) - F806)</f>
        <v>0</v>
      </c>
      <c r="H806" s="17">
        <v>2400.0000</v>
      </c>
      <c r="I806" s="17">
        <v>0</v>
      </c>
    </row>
    <row r="807" ht="10.95" customHeight="true" customFormat="true" s="9">
      <c r="A807" s="15">
        <v>46292</v>
      </c>
      <c r="B807" s="16" t="s">
        <v>162</v>
      </c>
      <c r="C807" s="16" t="s">
        <v>186</v>
      </c>
      <c r="D807" s="16" t="s">
        <v>185</v>
      </c>
      <c r="E807" s="17">
        <v>2500.0000</v>
      </c>
      <c r="F807" s="17">
        <v>0</v>
      </c>
      <c r="G807" s="17">
        <f ca="1">((G806 + E807) - F807)</f>
        <v>0</v>
      </c>
      <c r="H807" s="17">
        <v>2500.0000</v>
      </c>
      <c r="I807" s="17">
        <v>0</v>
      </c>
    </row>
    <row r="808" ht="10.95" customHeight="true" customFormat="true" s="9">
      <c r="A808" s="15">
        <v>46292</v>
      </c>
      <c r="B808" s="16" t="s">
        <v>162</v>
      </c>
      <c r="C808" s="16" t="s">
        <v>187</v>
      </c>
      <c r="D808" s="16" t="s">
        <v>185</v>
      </c>
      <c r="E808" s="17">
        <v>1800.0000</v>
      </c>
      <c r="F808" s="17">
        <v>0</v>
      </c>
      <c r="G808" s="17">
        <f ca="1">((G807 + E808) - F808)</f>
        <v>0</v>
      </c>
      <c r="H808" s="17">
        <v>1800.0000</v>
      </c>
      <c r="I808" s="17">
        <v>0</v>
      </c>
    </row>
    <row r="809" ht="10.95" customHeight="true" customFormat="true" s="9">
      <c r="A809" s="15">
        <v>46306</v>
      </c>
      <c r="B809" s="16" t="s">
        <v>162</v>
      </c>
      <c r="C809" s="16" t="s">
        <v>187</v>
      </c>
      <c r="D809" s="16" t="s">
        <v>185</v>
      </c>
      <c r="E809" s="17">
        <v>1800.0000</v>
      </c>
      <c r="F809" s="17">
        <v>0</v>
      </c>
      <c r="G809" s="17">
        <f ca="1">((G808 + E809) - F809)</f>
        <v>0</v>
      </c>
      <c r="H809" s="17">
        <v>1800.0000</v>
      </c>
      <c r="I809" s="17">
        <v>0</v>
      </c>
    </row>
    <row r="810" ht="10.95" customHeight="true" customFormat="true" s="9">
      <c r="A810" s="15">
        <v>46306</v>
      </c>
      <c r="B810" s="16" t="s">
        <v>162</v>
      </c>
      <c r="C810" s="16" t="s">
        <v>184</v>
      </c>
      <c r="D810" s="16" t="s">
        <v>185</v>
      </c>
      <c r="E810" s="17">
        <v>2400.0000</v>
      </c>
      <c r="F810" s="17">
        <v>0</v>
      </c>
      <c r="G810" s="17">
        <f ca="1">((G809 + E810) - F810)</f>
        <v>0</v>
      </c>
      <c r="H810" s="17">
        <v>2400.0000</v>
      </c>
      <c r="I810" s="17">
        <v>0</v>
      </c>
    </row>
    <row r="811" ht="10.95" customHeight="true" customFormat="true" s="9">
      <c r="A811" s="15">
        <v>46306</v>
      </c>
      <c r="B811" s="16" t="s">
        <v>162</v>
      </c>
      <c r="C811" s="16" t="s">
        <v>186</v>
      </c>
      <c r="D811" s="16" t="s">
        <v>185</v>
      </c>
      <c r="E811" s="17">
        <v>2500.0000</v>
      </c>
      <c r="F811" s="17">
        <v>0</v>
      </c>
      <c r="G811" s="17">
        <f ca="1">((G810 + E811) - F811)</f>
        <v>0</v>
      </c>
      <c r="H811" s="17">
        <v>2500.0000</v>
      </c>
      <c r="I811" s="17">
        <v>0</v>
      </c>
    </row>
    <row r="812" ht="10.95" customHeight="true" customFormat="true" s="9">
      <c r="A812" s="18" t="s">
        <v>343</v>
      </c>
      <c r="B812" s="18"/>
      <c r="C812" s="18"/>
      <c r="D812" s="18"/>
      <c r="E812" s="19">
        <f ca="1">SUM(E794:E811)</f>
        <v>0</v>
      </c>
      <c r="F812" s="19">
        <f ca="1">SUM(F794:F811)</f>
        <v>0</v>
      </c>
      <c r="G812" s="19">
        <f ca="1">G811</f>
        <v>0</v>
      </c>
      <c r="H812" s="19">
        <f ca="1">SUM(H794:H811)</f>
        <v>0</v>
      </c>
      <c r="I812" s="19">
        <f ca="1">SUM(I794:I811)</f>
        <v>0</v>
      </c>
    </row>
    <row r="813" ht="13.35" customHeight="true"/>
    <row r="814" ht="10.95" customHeight="true" customFormat="true" s="9">
      <c r="A814" s="22" t="s">
        <v>344</v>
      </c>
      <c r="B814" s="22"/>
      <c r="C814" s="22"/>
      <c r="D814" s="22"/>
      <c r="E814" s="23">
        <f ca="1">SUM(E85,E181,E188,E195,E332,E342,E354,E359,E367,E376,E380,E385,E528,E534,E539,E549,E554,E559,E567,E577,E583,E610,E632,E643,E647,E654,E662,E668,E723,E728,E737,E757,E782,E790,E812)</f>
        <v>0</v>
      </c>
      <c r="F814" s="23">
        <f ca="1">SUM(F85,F181,F188,F195,F332,F342,F354,F359,F367,F376,F380,F385,F528,F534,F539,F549,F554,F559,F567,F577,F583,F610,F632,F643,F647,F654,F662,F668,F723,F728,F737,F757,F782,F790,F812)</f>
        <v>0</v>
      </c>
      <c r="G814" s="23">
        <f ca="1">SUM(G85,G181,G188,G195,G332,G342,G354,G359,G367,G376,G380,G385,G528,G534,G539,G549,G554,G559,G567,G577,G583,G610,G632,G643,G647,G654,G662,G668,G723,G728,G737,G757,G782,G790,G812)</f>
        <v>0</v>
      </c>
      <c r="H814" s="23">
        <f ca="1">SUM(H85,H181,H188,H195,H332,H342,H354,H359,H367,H376,H380,H385,H528,H534,H539,H549,H554,H559,H567,H577,H583,H610,H632,H643,H647,H654,H662,H668,H723,H728,H737,H757,H782,H790,H812)</f>
        <v>0</v>
      </c>
      <c r="I814" s="23">
        <f ca="1">SUM(I85,I181,I188,I195,I332,I342,I354,I359,I367,I376,I380,I385,I528,I534,I539,I549,I554,I559,I567,I577,I583,I610,I632,I643,I647,I654,I662,I668,I723,I728,I737,I757,I782,I790,I812)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