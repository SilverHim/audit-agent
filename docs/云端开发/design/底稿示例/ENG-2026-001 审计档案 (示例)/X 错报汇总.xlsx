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&quot;-&quot;"/>
    <numFmt numFmtId="165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7F7F7F"/>
    </font>
    <font>
      <color rgb="00C0000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7EEF7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horizontal="right" vertical="top"/>
    </xf>
    <xf numFmtId="0" fontId="2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34" customWidth="1" min="3" max="3"/>
    <col width="18" customWidth="1" min="4" max="4"/>
    <col width="10" customWidth="1" min="5" max="5"/>
    <col width="10" customWidth="1" min="6" max="6"/>
    <col width="8" customWidth="1" min="7" max="7"/>
    <col width="12" customWidth="1" min="8" max="8"/>
    <col width="12" customWidth="1" min="9" max="9"/>
    <col width="10" customWidth="1" min="10" max="10"/>
    <col width="14" customWidth="1" min="11" max="11"/>
    <col width="22" customWidth="1" min="12" max="12"/>
  </cols>
  <sheetData>
    <row r="1" ht="15" customHeight="1">
      <c r="A1" s="1" t="inlineStr">
        <is>
          <t>X  错报汇总</t>
        </is>
      </c>
    </row>
    <row r="2" ht="15" customHeight="1">
      <c r="A2" s="2" t="inlineStr">
        <is>
          <t>客户: Demo Company (AU) Pty Ltd</t>
        </is>
      </c>
      <c r="B2" s="3" t="n"/>
      <c r="C2" s="3" t="n"/>
      <c r="D2" s="3" t="n"/>
      <c r="E2" s="3" t="n"/>
      <c r="F2" s="4" t="n"/>
      <c r="G2" s="2" t="inlineStr">
        <is>
          <t>审计期间: 2026-07-01 至 2026-09-30    项目: ENG-2026-001</t>
        </is>
      </c>
      <c r="H2" s="3" t="n"/>
      <c r="I2" s="3" t="n"/>
      <c r="J2" s="3" t="n"/>
      <c r="K2" s="3" t="n"/>
      <c r="L2" s="4" t="n"/>
    </row>
    <row r="3" ht="15" customHeight="1">
      <c r="A3" s="2" t="inlineStr">
        <is>
          <t>对应程序: FIN-04 错报累计 (尚未执行, 本页按已认定错报生成)</t>
        </is>
      </c>
      <c r="B3" s="3" t="n"/>
      <c r="C3" s="3" t="n"/>
      <c r="D3" s="3" t="n"/>
      <c r="E3" s="3" t="n"/>
      <c r="F3" s="4" t="n"/>
      <c r="G3" s="2" t="inlineStr">
        <is>
          <t>索引: X</t>
        </is>
      </c>
      <c r="H3" s="3" t="n"/>
      <c r="I3" s="3" t="n"/>
      <c r="J3" s="3" t="n"/>
      <c r="K3" s="3" t="n"/>
      <c r="L3" s="4" t="n"/>
    </row>
    <row r="4" ht="15" customHeight="1">
      <c r="A4" s="2" t="inlineStr">
        <is>
          <t>编制人: 系统    完成日期: 2026-10-21</t>
        </is>
      </c>
      <c r="B4" s="3" t="n"/>
      <c r="C4" s="3" t="n"/>
      <c r="D4" s="3" t="n"/>
      <c r="E4" s="3" t="n"/>
      <c r="F4" s="4" t="n"/>
      <c r="G4" s="5" t="inlineStr">
        <is>
          <t>复核人: Jordan Ellis    复核日期: 待签署    复核范围: —</t>
        </is>
      </c>
      <c r="H4" s="3" t="n"/>
      <c r="I4" s="3" t="n"/>
      <c r="J4" s="3" t="n"/>
      <c r="K4" s="3" t="n"/>
      <c r="L4" s="4" t="n"/>
    </row>
    <row r="6" ht="15" customHeight="1">
      <c r="A6" s="6" t="inlineStr">
        <is>
          <t>依据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5" customHeight="1">
      <c r="A7" s="7" t="inlineStr">
        <is>
          <t>准则</t>
        </is>
      </c>
      <c r="B7" s="2" t="inlineStr">
        <is>
          <t>ASA 450 第 15 段: (a) 明显微小临界值; (b) 累计的全部错报及是否已更正; (c) 未更正错报是否重大的结论及依据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n"/>
    </row>
    <row r="9" ht="15" customHeight="1">
      <c r="A9" s="6" t="inlineStr">
        <is>
          <t>临界值 (见 A-2)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4" t="n"/>
    </row>
    <row r="10" ht="15" customHeight="1">
      <c r="A10" s="7" t="inlineStr">
        <is>
          <t>整体重要性</t>
        </is>
      </c>
      <c r="B10" s="4" t="n"/>
      <c r="C10" s="8" t="n">
        <v>324.31</v>
      </c>
    </row>
    <row r="11" ht="15" customHeight="1">
      <c r="A11" s="7" t="inlineStr">
        <is>
          <t>执行重要性</t>
        </is>
      </c>
      <c r="B11" s="4" t="n"/>
      <c r="C11" s="8" t="n">
        <v>243.23</v>
      </c>
    </row>
    <row r="12" ht="15" customHeight="1">
      <c r="A12" s="7" t="inlineStr">
        <is>
          <t>明显微小临界值</t>
        </is>
      </c>
      <c r="B12" s="4" t="n"/>
      <c r="C12" s="8" t="n">
        <v>16.22</v>
      </c>
    </row>
    <row r="14" ht="15" customHeight="1">
      <c r="A14" s="6" t="inlineStr">
        <is>
          <t>累计错报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4" t="n"/>
    </row>
    <row r="15" ht="15" customHeight="1">
      <c r="A15" s="9" t="inlineStr">
        <is>
          <t>编号</t>
        </is>
      </c>
      <c r="B15" s="9" t="inlineStr">
        <is>
          <t>来源底稿</t>
        </is>
      </c>
      <c r="C15" s="9" t="inlineStr">
        <is>
          <t>说明</t>
        </is>
      </c>
      <c r="D15" s="9" t="inlineStr">
        <is>
          <t>科目</t>
        </is>
      </c>
      <c r="E15" s="9" t="inlineStr">
        <is>
          <t>认定</t>
        </is>
      </c>
      <c r="F15" s="9" t="inlineStr">
        <is>
          <t>类型</t>
        </is>
      </c>
      <c r="G15" s="9" t="inlineStr">
        <is>
          <t>方向</t>
        </is>
      </c>
      <c r="H15" s="9" t="inlineStr">
        <is>
          <t>金额</t>
        </is>
      </c>
      <c r="I15" s="9" t="inlineStr">
        <is>
          <t>超过明显微小</t>
        </is>
      </c>
      <c r="J15" s="9" t="inlineStr">
        <is>
          <t>状态</t>
        </is>
      </c>
      <c r="K15" s="9" t="inlineStr">
        <is>
          <t>对利润的影响</t>
        </is>
      </c>
      <c r="L15" s="9" t="inlineStr">
        <is>
          <t>认定人与日期</t>
        </is>
      </c>
    </row>
    <row r="16" ht="30" customHeight="1">
      <c r="A16" s="2" t="inlineStr">
        <is>
          <t>X-1</t>
        </is>
      </c>
      <c r="B16" s="2" t="inlineStr">
        <is>
          <t>C-4 函证差异评价 (CSH-02)</t>
        </is>
      </c>
      <c r="C16" s="2" t="inlineStr">
        <is>
          <t>储蓄账户 091 截至 2026-09-30 的应计利息未入账, 银行回函确认</t>
        </is>
      </c>
      <c r="D16" s="2" t="inlineStr">
        <is>
          <t>270 Interest Income</t>
        </is>
      </c>
      <c r="E16" s="2" t="inlineStr">
        <is>
          <t>完整性</t>
        </is>
      </c>
      <c r="F16" s="2" t="inlineStr">
        <is>
          <t>事实错报</t>
        </is>
      </c>
      <c r="G16" s="2" t="inlineStr">
        <is>
          <t>低估</t>
        </is>
      </c>
      <c r="H16" s="8" t="n">
        <v>48.53</v>
      </c>
      <c r="I16" s="2" t="inlineStr">
        <is>
          <t>是</t>
        </is>
      </c>
      <c r="J16" s="10" t="inlineStr">
        <is>
          <t>未更正</t>
        </is>
      </c>
      <c r="K16" s="2" t="inlineStr">
        <is>
          <t>利润低估 48.53</t>
        </is>
      </c>
      <c r="L16" s="2" t="inlineStr">
        <is>
          <t>Jordan Ellis, 2026-10-20 (争议裁决后认定)</t>
        </is>
      </c>
    </row>
    <row r="17">
      <c r="A17" s="11" t="n"/>
      <c r="B17" s="11" t="n"/>
      <c r="C17" s="12" t="inlineStr">
        <is>
          <t>未更正错报合计</t>
        </is>
      </c>
      <c r="D17" s="11" t="n"/>
      <c r="E17" s="11" t="n"/>
      <c r="F17" s="11" t="n"/>
      <c r="G17" s="11" t="n"/>
      <c r="H17" s="13">
        <f>SUMIF(J16:J16,"未更正",H16:H16)</f>
        <v/>
      </c>
      <c r="I17" s="11" t="n"/>
      <c r="J17" s="11" t="n"/>
      <c r="K17" s="11" t="n"/>
      <c r="L17" s="11" t="n"/>
    </row>
    <row r="19" ht="15" customHeight="1">
      <c r="A19" s="6" t="inlineStr">
        <is>
          <t>评价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4" t="n"/>
    </row>
    <row r="20" ht="15" customHeight="1">
      <c r="A20" s="7" t="inlineStr">
        <is>
          <t>占执行重要性</t>
        </is>
      </c>
      <c r="B20" s="4" t="n"/>
      <c r="C20" s="14">
        <f>H17/243.23</f>
        <v/>
      </c>
    </row>
    <row r="21" ht="15" customHeight="1">
      <c r="A21" s="7" t="inlineStr">
        <is>
          <t>占整体重要性</t>
        </is>
      </c>
      <c r="B21" s="4" t="n"/>
      <c r="C21" s="14">
        <f>H17/324.31</f>
        <v/>
      </c>
    </row>
    <row r="22" ht="15" customHeight="1">
      <c r="A22" s="7" t="inlineStr">
        <is>
          <t>结论</t>
        </is>
      </c>
      <c r="B22" s="2" t="inlineStr">
        <is>
          <t>截至目前未更正错报单独及汇总均低于整体重要性; 最终结论在完成阶段 (FIN-01 意见决定) 作出, 届时补充依据。</t>
        </is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4" t="n"/>
    </row>
    <row r="24" ht="15" customHeight="1">
      <c r="A24" s="6" t="inlineStr">
        <is>
          <t>复核意见: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4" t="n"/>
    </row>
  </sheetData>
  <mergeCells count="19">
    <mergeCell ref="B7:L7"/>
    <mergeCell ref="A11:B11"/>
    <mergeCell ref="G3:L3"/>
    <mergeCell ref="B22:L22"/>
    <mergeCell ref="A3:F3"/>
    <mergeCell ref="A2:F2"/>
    <mergeCell ref="A14:L14"/>
    <mergeCell ref="A4:F4"/>
    <mergeCell ref="G4:L4"/>
    <mergeCell ref="A12:B12"/>
    <mergeCell ref="A21:B21"/>
    <mergeCell ref="A19:L19"/>
    <mergeCell ref="A9:L9"/>
    <mergeCell ref="A24:L24"/>
    <mergeCell ref="A20:B20"/>
    <mergeCell ref="G2:L2"/>
    <mergeCell ref="A1:L1"/>
    <mergeCell ref="A10:B10"/>
    <mergeCell ref="A6:L6"/>
  </mergeCells>
  <pageMargins left="0.75" right="0.75" top="1" bottom="1" header="0.5" footer="0.5"/>
  <pageSetup orientation="landscape" fitToHeight="0" fitToWidth="1"/>
  <headerFooter>
    <oddHeader/>
    <oddFooter>&amp;LDemo Company (AU) Pty Ltd · ENG-2026-001 · X&amp;R第 &amp;P 页,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2026-10-20T13:21:45Z</dcterms:created>
  <dcterms:modified xsi:type="dcterms:W3CDTF">2026-10-20T13:21:45Z</dcterms:modified>
</cp:coreProperties>
</file>