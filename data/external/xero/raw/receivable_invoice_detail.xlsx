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eceivable Invoice Detail" sheetId="1" r:id="rId1"/>
  </sheets>
  <calcPr calcId="162913"/>
</workbook>
</file>

<file path=xl/sharedStrings.xml><?xml version="1.0" encoding="utf-8"?>
<sst xmlns="http://schemas.openxmlformats.org/spreadsheetml/2006/main" count="223" uniqueCount="223">
  <si>
    <t>Receivable Invoice Detail</t>
  </si>
  <si>
    <t>Demo Company (AU)</t>
  </si>
  <si>
    <t>For the period 1 January 2024 to 31 December 2027</t>
  </si>
  <si>
    <t>Invoice Date</t>
  </si>
  <si>
    <t>Source</t>
  </si>
  <si>
    <t>Reference</t>
  </si>
  <si>
    <t>Item Code</t>
  </si>
  <si>
    <t>Description</t>
  </si>
  <si>
    <t>Quantity</t>
  </si>
  <si>
    <t>Unit Price (ex)</t>
  </si>
  <si>
    <t>Discount (ex)</t>
  </si>
  <si>
    <t>GST</t>
  </si>
  <si>
    <t>Gross</t>
  </si>
  <si>
    <t>Invoice Total</t>
  </si>
  <si>
    <t>Net</t>
  </si>
  <si>
    <t>Contact</t>
  </si>
  <si>
    <t>Due Date</t>
  </si>
  <si>
    <t>Last Payment Date</t>
  </si>
  <si>
    <t>Created Date</t>
  </si>
  <si>
    <t>Status</t>
  </si>
  <si>
    <t>Account Code</t>
  </si>
  <si>
    <t>1026C</t>
  </si>
  <si>
    <t>Receivable Credit Note</t>
  </si>
  <si>
    <t>Portal proj</t>
  </si>
  <si>
    <t>DevD</t>
  </si>
  <si>
    <t>Credit development as agreed</t>
  </si>
  <si>
    <t>DIISR - Small Business Services</t>
  </si>
  <si>
    <t>Paid</t>
  </si>
  <si>
    <t>200</t>
  </si>
  <si>
    <t>Total 1026C</t>
  </si>
  <si>
    <t>CR1001</t>
  </si>
  <si>
    <t>PMDD</t>
  </si>
  <si>
    <t>Credit for hourly rate review.
Reduction of $1.50 NOW $83.50/h down from $85.00/hr</t>
  </si>
  <si>
    <t>Total CR1001</t>
  </si>
  <si>
    <t>CR1003</t>
  </si>
  <si>
    <t>Monthly Support</t>
  </si>
  <si>
    <t>Support-M</t>
  </si>
  <si>
    <t>Duplicate invoice sent in error for last month - fully credited</t>
  </si>
  <si>
    <t>Hamilton Smith Pty</t>
  </si>
  <si>
    <t>Total CR1003</t>
  </si>
  <si>
    <t>CR1005</t>
  </si>
  <si>
    <t>Train-MS</t>
  </si>
  <si>
    <t>Credit full invoice and included in suite of training invoiced via ORC1006</t>
  </si>
  <si>
    <t>Bank West</t>
  </si>
  <si>
    <t>Total CR1005</t>
  </si>
  <si>
    <t>CR1014</t>
  </si>
  <si>
    <t>Yr ref H008-346</t>
  </si>
  <si>
    <t>PMD</t>
  </si>
  <si>
    <t>Credit half day Project Management onsite fee</t>
  </si>
  <si>
    <t>Maddox Publishing Group</t>
  </si>
  <si>
    <t>Total CR1014</t>
  </si>
  <si>
    <t>ORC01025</t>
  </si>
  <si>
    <t>Receivable Invoice</t>
  </si>
  <si>
    <t>P/O CRM08-12</t>
  </si>
  <si>
    <t>Onsite project management for CRM Project 3 days/week</t>
  </si>
  <si>
    <t>Ridgeway University</t>
  </si>
  <si>
    <t>Approved</t>
  </si>
  <si>
    <t>Total ORC01025</t>
  </si>
  <si>
    <t>ORC0999</t>
  </si>
  <si>
    <t>Project Management - onsite daily rate</t>
  </si>
  <si>
    <t>Total ORC0999</t>
  </si>
  <si>
    <t>ORC1000</t>
  </si>
  <si>
    <t>RAC project</t>
  </si>
  <si>
    <t>Project management &amp; implementation - 'due diligence' stocktake of your project scope/schedule/implementation plan/outcome measures (hourly rate as agreed)</t>
  </si>
  <si>
    <t>Kinnet &amp; Jones</t>
  </si>
  <si>
    <t>Total ORC1000</t>
  </si>
  <si>
    <t>ORC1001</t>
  </si>
  <si>
    <t>Total ORC1001</t>
  </si>
  <si>
    <t>ORC1002</t>
  </si>
  <si>
    <t>PMBr</t>
  </si>
  <si>
    <t>Project management &amp; implementation - branding workshop with your team</t>
  </si>
  <si>
    <t>City Limousines</t>
  </si>
  <si>
    <t>Total ORC1002</t>
  </si>
  <si>
    <t>ORC1003</t>
  </si>
  <si>
    <t>Desktop/network support via email &amp; phone.
Per month fixed fee for minimum 20 hours/month.</t>
  </si>
  <si>
    <t>Total ORC1003</t>
  </si>
  <si>
    <t>ORC1004</t>
  </si>
  <si>
    <t>City Ambassadors Association</t>
  </si>
  <si>
    <t>Total ORC1004</t>
  </si>
  <si>
    <t>ORC1005</t>
  </si>
  <si>
    <t>Half day training - Microsoft Office</t>
  </si>
  <si>
    <t>Total ORC1005</t>
  </si>
  <si>
    <t>ORC1006</t>
  </si>
  <si>
    <t>Half day training - Microsoft Office - for your Priority Services Team (Session 3)</t>
  </si>
  <si>
    <t>Half day training - Microsoft Office - for your Lending Service Analysts (Session 2)</t>
  </si>
  <si>
    <t>Half day training - Microsoft Office - for your Customer Support Team (Session 1)</t>
  </si>
  <si>
    <t>Total ORC1006</t>
  </si>
  <si>
    <t>ORC1007</t>
  </si>
  <si>
    <t>CSD0845</t>
  </si>
  <si>
    <t>Project Management for your Content Mangement Implementation Project (CSD0845)- onsite daily rate (2 days per week last month)</t>
  </si>
  <si>
    <t>Petrie McLoud Watson &amp; Associates</t>
  </si>
  <si>
    <t>Total ORC1007</t>
  </si>
  <si>
    <t>ORC1008</t>
  </si>
  <si>
    <t>Monthly support</t>
  </si>
  <si>
    <t>Total ORC1008</t>
  </si>
  <si>
    <t>ORC1009</t>
  </si>
  <si>
    <t>Yarra Transport</t>
  </si>
  <si>
    <t>Total ORC1009</t>
  </si>
  <si>
    <t>ORC1010</t>
  </si>
  <si>
    <t>Port Phillip Freight</t>
  </si>
  <si>
    <t>Total ORC1010</t>
  </si>
  <si>
    <t>ORC1011</t>
  </si>
  <si>
    <t>Rex Media Group</t>
  </si>
  <si>
    <t>Total ORC1011</t>
  </si>
  <si>
    <t>ORC1012</t>
  </si>
  <si>
    <t>PMWe</t>
  </si>
  <si>
    <t>Project management &amp; implementation - website revamp workshop with your team to incorporate new brand and mission statement</t>
  </si>
  <si>
    <t>Total ORC1012</t>
  </si>
  <si>
    <t>ORC1013</t>
  </si>
  <si>
    <t>BWP p.o. R22987</t>
  </si>
  <si>
    <t>Development work - developer onsite per day</t>
  </si>
  <si>
    <t>Blue Winn Polytechnic</t>
  </si>
  <si>
    <t>Total ORC1013</t>
  </si>
  <si>
    <t>ORC1014</t>
  </si>
  <si>
    <t>Project Management - onsite daily rate - your CRM integration project</t>
  </si>
  <si>
    <t>Total ORC1014</t>
  </si>
  <si>
    <t>ORC1015</t>
  </si>
  <si>
    <t>WEBSITE REDESIGN PROJECT
========================
- Initial analysis &amp; summary of current site
- Brainstorm site outcomes with your team
- Identify audience &amp; key stakeholders
- Review content ideas currently not catered for
- Presentation of initial analysis &amp; feedback session
- Brainstorm improvements to current content
- Group structure discussion
- Actions list for follow up
- Notes from session presented for your Exec Team</t>
  </si>
  <si>
    <t>Quantum Consultants</t>
  </si>
  <si>
    <t>Total ORC1015</t>
  </si>
  <si>
    <t>ORC1016</t>
  </si>
  <si>
    <t>Total ORC1016</t>
  </si>
  <si>
    <t>ORC1017</t>
  </si>
  <si>
    <t>Total ORC1017</t>
  </si>
  <si>
    <t>ORC1018</t>
  </si>
  <si>
    <t>Total ORC1018</t>
  </si>
  <si>
    <t>ORC1019</t>
  </si>
  <si>
    <t>Total ORC1019</t>
  </si>
  <si>
    <t>ORC1020</t>
  </si>
  <si>
    <t>Total ORC1020</t>
  </si>
  <si>
    <t>ORC1021</t>
  </si>
  <si>
    <t>Total ORC1021</t>
  </si>
  <si>
    <t>ORC1022</t>
  </si>
  <si>
    <t>Total ORC1022</t>
  </si>
  <si>
    <t>ORC1023</t>
  </si>
  <si>
    <t>Total ORC1023</t>
  </si>
  <si>
    <t>ORC1024</t>
  </si>
  <si>
    <t>Carruthers &amp; Smale</t>
  </si>
  <si>
    <t>Total ORC1024</t>
  </si>
  <si>
    <t>ORC1025</t>
  </si>
  <si>
    <t>Half day training - Microsoft Office - DJ session</t>
  </si>
  <si>
    <t>Boom FM</t>
  </si>
  <si>
    <t>Voided</t>
  </si>
  <si>
    <t>Half day training - Microsoft Office - Admin session</t>
  </si>
  <si>
    <t>Total ORC1025</t>
  </si>
  <si>
    <t>ORC1026</t>
  </si>
  <si>
    <t>Total ORC1026</t>
  </si>
  <si>
    <t>ORC1027</t>
  </si>
  <si>
    <t>Feedback sessions with your stakeholders</t>
  </si>
  <si>
    <t>Awaiting Approval</t>
  </si>
  <si>
    <t>Total ORC1027</t>
  </si>
  <si>
    <t>ORC1028</t>
  </si>
  <si>
    <t>Draft</t>
  </si>
  <si>
    <t>Total ORC1028</t>
  </si>
  <si>
    <t>ORC1029</t>
  </si>
  <si>
    <t>Total ORC1029</t>
  </si>
  <si>
    <t>ORC1030</t>
  </si>
  <si>
    <t>Total ORC1030</t>
  </si>
  <si>
    <t>ORC1031</t>
  </si>
  <si>
    <t>Total ORC1031</t>
  </si>
  <si>
    <t>ORC1032</t>
  </si>
  <si>
    <t>Project management &amp; implementation - website revamp workshop with your team</t>
  </si>
  <si>
    <t>Cube Land</t>
  </si>
  <si>
    <t>Total ORC1032</t>
  </si>
  <si>
    <t>ORC1033</t>
  </si>
  <si>
    <t>Total ORC1033</t>
  </si>
  <si>
    <t>ORC1034</t>
  </si>
  <si>
    <t>PO403/CSD</t>
  </si>
  <si>
    <t>Project Management for restructure - onsite daily rate</t>
  </si>
  <si>
    <t>Pinnacle Management</t>
  </si>
  <si>
    <t>Total ORC1034</t>
  </si>
  <si>
    <t>ORC1035</t>
  </si>
  <si>
    <t>Mitchell River Lodge</t>
  </si>
  <si>
    <t>Total ORC1035</t>
  </si>
  <si>
    <t>ORC1036</t>
  </si>
  <si>
    <t>Project team meeting to discuss dev changes required to your online gift basket ordering system</t>
  </si>
  <si>
    <t>Basket Case</t>
  </si>
  <si>
    <t>Development work - per hour rate</t>
  </si>
  <si>
    <t>Total ORC1036</t>
  </si>
  <si>
    <t>ORC1037</t>
  </si>
  <si>
    <t>Credit on overcharge for work last month as discussed</t>
  </si>
  <si>
    <t>Total ORC1037</t>
  </si>
  <si>
    <t>ORC1038</t>
  </si>
  <si>
    <t>Ref MK815</t>
  </si>
  <si>
    <t>Marketing guides</t>
  </si>
  <si>
    <t>Marine Systems</t>
  </si>
  <si>
    <t>Total ORC1038</t>
  </si>
  <si>
    <t>ORC1039</t>
  </si>
  <si>
    <t>GB1-White</t>
  </si>
  <si>
    <t>Courier charge</t>
  </si>
  <si>
    <t>Bayside Club</t>
  </si>
  <si>
    <t>425</t>
  </si>
  <si>
    <t>Golf balls - white single</t>
  </si>
  <si>
    <t>Total ORC1039</t>
  </si>
  <si>
    <t>ORC1040</t>
  </si>
  <si>
    <t>GB9-White</t>
  </si>
  <si>
    <t>Golf balls - white - 9 pack. Please reorder with code GB9-White</t>
  </si>
  <si>
    <t>Total ORC1040</t>
  </si>
  <si>
    <t>ORC1041</t>
  </si>
  <si>
    <t>Total ORC1041</t>
  </si>
  <si>
    <t>ORC1042</t>
  </si>
  <si>
    <t>Support</t>
  </si>
  <si>
    <t>Total ORC1042</t>
  </si>
  <si>
    <t>ORC1044</t>
  </si>
  <si>
    <t>Golf Balls</t>
  </si>
  <si>
    <t>City Agency</t>
  </si>
  <si>
    <t>Total ORC1044</t>
  </si>
  <si>
    <t>ORC1045</t>
  </si>
  <si>
    <t>Website</t>
  </si>
  <si>
    <t>Website creation</t>
  </si>
  <si>
    <t>Total ORC1045</t>
  </si>
  <si>
    <t>ORC1046</t>
  </si>
  <si>
    <t>Training</t>
  </si>
  <si>
    <t>Half day training - Microsoft Office - Marketing team</t>
  </si>
  <si>
    <t>Total ORC1046</t>
  </si>
  <si>
    <t>ORC1047</t>
  </si>
  <si>
    <t>Consulting</t>
  </si>
  <si>
    <t>DevH</t>
  </si>
  <si>
    <t>Development work - software integration</t>
  </si>
  <si>
    <t>Total ORC1047</t>
  </si>
  <si>
    <t>ORC1048</t>
  </si>
  <si>
    <t>Total ORC1048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</si>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</sst>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 mmm yyyy"/>
    <numFmt numFmtId="165" formatCode="#,##0.0000;(#,##0.0000)"/>
    <numFmt numFmtId="166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166" fontId="0" fillId="0" borderId="0" xfId="0" applyNumberFormat="true" applyFont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5" fontId="6" fillId="0" borderId="2" xfId="0" applyNumberFormat="true" applyFont="true" applyBorder="true" applyAlignment="true">
      <alignment horizontal="right" vertical="center"/>
    </xf>
    <xf numFmtId="166" fontId="6" fillId="0" borderId="2" xfId="0" applyNumberFormat="true" applyFont="true" applyBorder="true" applyAlignment="true">
      <alignment horizontal="right" vertical="center"/>
    </xf>
    <xf numFmtId="0" fontId="0" fillId="0" borderId="0" xfId="0" applyFont="true" applyAlignment="true">
      <alignment vertical="center" wrapText="true"/>
    </xf>
    <xf numFmtId="164" fontId="0" fillId="0" borderId="2" xfId="0" applyNumberFormat="true" applyFont="true" applyBorder="true" applyAlignment="true">
      <alignment horizontal="lef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  <xf numFmtId="166" fontId="0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R231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7.16015625" customWidth="1"/>
    <col min="2" max="2" width="22" customWidth="1"/>
    <col min="3" max="3" width="17.5" customWidth="1"/>
    <col min="4" max="4" width="12.33203125" customWidth="1"/>
    <col min="5" max="5" width="100" customWidth="1"/>
    <col min="6" max="6" width="10.66015625" customWidth="1"/>
    <col min="7" max="7" width="16.5" customWidth="1"/>
    <col min="8" max="8" width="15" customWidth="1"/>
    <col min="9" max="9" width="8.83203125" customWidth="1"/>
    <col min="10" max="10" width="10.5" customWidth="1"/>
    <col min="11" max="11" width="15" customWidth="1"/>
    <col min="12" max="12" width="10.5" customWidth="1"/>
    <col min="13" max="13" width="34.16015625" customWidth="1"/>
    <col min="14" max="14" width="12.83203125" customWidth="1"/>
    <col min="15" max="15" width="21.33203125" customWidth="1"/>
    <col min="16" max="16" width="15.16015625" customWidth="1"/>
    <col min="17" max="17" width="18.33203125" customWidth="1"/>
    <col min="18" max="18" width="16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</row>
    <row r="6" ht="13.35" customHeight="true"/>
    <row r="7" ht="12.1" customHeight="true" customFormat="true" s="5">
      <c r="A7" s="8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ht="10.95" customHeight="true" customFormat="true" s="9">
      <c r="A8" s="10">
        <v>46311</v>
      </c>
      <c r="B8" s="11" t="s">
        <v>22</v>
      </c>
      <c r="C8" s="11" t="s">
        <v>23</v>
      </c>
      <c r="D8" s="11" t="s">
        <v>24</v>
      </c>
      <c r="E8" s="11" t="s">
        <v>25</v>
      </c>
      <c r="F8" s="12">
        <v>-1.0000</v>
      </c>
      <c r="G8" s="12">
        <v>1050.0000</v>
      </c>
      <c r="H8" s="13">
        <v>0</v>
      </c>
      <c r="I8" s="13">
        <v>-105.0000</v>
      </c>
      <c r="J8" s="13">
        <v>-1155.0000</v>
      </c>
      <c r="K8" s="13">
        <v>-1155.0000</v>
      </c>
      <c r="L8" s="13">
        <v>-1050.0000</v>
      </c>
      <c r="M8" s="11" t="s">
        <v>26</v>
      </c>
      <c r="N8" s="10">
        <v>46311</v>
      </c>
      <c r="O8" s="10">
        <v>46351</v>
      </c>
      <c r="P8" s="10">
        <v>46312</v>
      </c>
      <c r="Q8" s="11" t="s">
        <v>27</v>
      </c>
      <c r="R8" s="11" t="s">
        <v>28</v>
      </c>
    </row>
    <row r="9" ht="10.95" customHeight="true" customFormat="true" s="9">
      <c r="A9" s="14" t="s">
        <v>29</v>
      </c>
      <c r="B9" s="14"/>
      <c r="C9" s="14"/>
      <c r="D9" s="14"/>
      <c r="E9" s="14"/>
      <c r="F9" s="15">
        <f ca="1">F8</f>
        <v>0</v>
      </c>
      <c r="G9" s="14"/>
      <c r="H9" s="16">
        <f ca="1">H8</f>
        <v>0</v>
      </c>
      <c r="I9" s="16">
        <f ca="1">I8</f>
        <v>0</v>
      </c>
      <c r="J9" s="16">
        <f ca="1">J8</f>
        <v>0</v>
      </c>
      <c r="K9" s="14"/>
      <c r="L9" s="16">
        <f ca="1">L8</f>
        <v>0</v>
      </c>
      <c r="M9" s="14"/>
      <c r="N9" s="14"/>
      <c r="O9" s="14"/>
      <c r="P9" s="14"/>
      <c r="Q9" s="14"/>
      <c r="R9" s="14"/>
    </row>
    <row r="10" ht="13.35" customHeight="true"/>
    <row r="11" ht="12.1" customHeight="true" customFormat="true" s="5">
      <c r="A11" s="8" t="s">
        <v>30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ht="21.3" customHeight="true" customFormat="true" s="9">
      <c r="A12" s="10">
        <v>46249</v>
      </c>
      <c r="B12" s="11" t="s">
        <v>22</v>
      </c>
      <c r="C12" s="11" t="s">
        <v>23</v>
      </c>
      <c r="D12" s="11" t="s">
        <v>31</v>
      </c>
      <c r="E12" s="17" t="s">
        <v>32</v>
      </c>
      <c r="F12" s="12">
        <v>-1.0000</v>
      </c>
      <c r="G12" s="12">
        <v>24.0000</v>
      </c>
      <c r="H12" s="13">
        <v>0</v>
      </c>
      <c r="I12" s="13">
        <v>-2.4000</v>
      </c>
      <c r="J12" s="13">
        <v>-26.4000</v>
      </c>
      <c r="K12" s="13">
        <v>-26.4000</v>
      </c>
      <c r="L12" s="13">
        <v>-24.0000</v>
      </c>
      <c r="M12" s="11" t="s">
        <v>26</v>
      </c>
      <c r="N12" s="10">
        <v>46249</v>
      </c>
      <c r="O12" s="10">
        <v>46251</v>
      </c>
      <c r="P12" s="10">
        <v>46298</v>
      </c>
      <c r="Q12" s="11" t="s">
        <v>27</v>
      </c>
      <c r="R12" s="11" t="s">
        <v>28</v>
      </c>
    </row>
    <row r="13" ht="10.95" customHeight="true" customFormat="true" s="9">
      <c r="A13" s="14" t="s">
        <v>33</v>
      </c>
      <c r="B13" s="14"/>
      <c r="C13" s="14"/>
      <c r="D13" s="14"/>
      <c r="E13" s="14"/>
      <c r="F13" s="15">
        <f ca="1">F12</f>
        <v>0</v>
      </c>
      <c r="G13" s="14"/>
      <c r="H13" s="16">
        <f ca="1">H12</f>
        <v>0</v>
      </c>
      <c r="I13" s="16">
        <f ca="1">I12</f>
        <v>0</v>
      </c>
      <c r="J13" s="16">
        <f ca="1">J12</f>
        <v>0</v>
      </c>
      <c r="K13" s="14"/>
      <c r="L13" s="16">
        <f ca="1">L12</f>
        <v>0</v>
      </c>
      <c r="M13" s="14"/>
      <c r="N13" s="14"/>
      <c r="O13" s="14"/>
      <c r="P13" s="14"/>
      <c r="Q13" s="14"/>
      <c r="R13" s="14"/>
    </row>
    <row r="14" ht="13.35" customHeight="true"/>
    <row r="15" ht="12.1" customHeight="true" customFormat="true" s="5">
      <c r="A15" s="8" t="s">
        <v>34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ht="10.95" customHeight="true" customFormat="true" s="9">
      <c r="A16" s="10">
        <v>46229</v>
      </c>
      <c r="B16" s="11" t="s">
        <v>22</v>
      </c>
      <c r="C16" s="11" t="s">
        <v>35</v>
      </c>
      <c r="D16" s="11" t="s">
        <v>36</v>
      </c>
      <c r="E16" s="11" t="s">
        <v>37</v>
      </c>
      <c r="F16" s="12">
        <v>-1.0000</v>
      </c>
      <c r="G16" s="12">
        <v>500.0000</v>
      </c>
      <c r="H16" s="13">
        <v>0</v>
      </c>
      <c r="I16" s="13">
        <v>-50.0000</v>
      </c>
      <c r="J16" s="13">
        <v>-550.0000</v>
      </c>
      <c r="K16" s="13">
        <v>-550.0000</v>
      </c>
      <c r="L16" s="13">
        <v>-500.0000</v>
      </c>
      <c r="M16" s="11" t="s">
        <v>38</v>
      </c>
      <c r="N16" s="10">
        <v>46229</v>
      </c>
      <c r="O16" s="10">
        <v>46229</v>
      </c>
      <c r="P16" s="10">
        <v>46299</v>
      </c>
      <c r="Q16" s="11" t="s">
        <v>27</v>
      </c>
      <c r="R16" s="11" t="s">
        <v>28</v>
      </c>
    </row>
    <row r="17" ht="10.95" customHeight="true" customFormat="true" s="9">
      <c r="A17" s="14" t="s">
        <v>39</v>
      </c>
      <c r="B17" s="14"/>
      <c r="C17" s="14"/>
      <c r="D17" s="14"/>
      <c r="E17" s="14"/>
      <c r="F17" s="15">
        <f ca="1">F16</f>
        <v>0</v>
      </c>
      <c r="G17" s="14"/>
      <c r="H17" s="16">
        <f ca="1">H16</f>
        <v>0</v>
      </c>
      <c r="I17" s="16">
        <f ca="1">I16</f>
        <v>0</v>
      </c>
      <c r="J17" s="16">
        <f ca="1">J16</f>
        <v>0</v>
      </c>
      <c r="K17" s="14"/>
      <c r="L17" s="16">
        <f ca="1">L16</f>
        <v>0</v>
      </c>
      <c r="M17" s="14"/>
      <c r="N17" s="14"/>
      <c r="O17" s="14"/>
      <c r="P17" s="14"/>
      <c r="Q17" s="14"/>
      <c r="R17" s="14"/>
    </row>
    <row r="18" ht="13.35" customHeight="true"/>
    <row r="19" ht="12.1" customHeight="true" customFormat="true" s="5">
      <c r="A19" s="8" t="s">
        <v>40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ht="10.95" customHeight="true" customFormat="true" s="9">
      <c r="A20" s="10">
        <v>46234</v>
      </c>
      <c r="B20" s="11" t="s">
        <v>22</v>
      </c>
      <c r="C20" s="11"/>
      <c r="D20" s="11" t="s">
        <v>41</v>
      </c>
      <c r="E20" s="11" t="s">
        <v>42</v>
      </c>
      <c r="F20" s="12">
        <v>-1.0000</v>
      </c>
      <c r="G20" s="12">
        <v>500.0000</v>
      </c>
      <c r="H20" s="13">
        <v>0</v>
      </c>
      <c r="I20" s="13">
        <v>-50.0000</v>
      </c>
      <c r="J20" s="13">
        <v>-550.0000</v>
      </c>
      <c r="K20" s="13">
        <v>-550.0000</v>
      </c>
      <c r="L20" s="13">
        <v>-500.0000</v>
      </c>
      <c r="M20" s="11" t="s">
        <v>43</v>
      </c>
      <c r="N20" s="10">
        <v>46234</v>
      </c>
      <c r="O20" s="10">
        <v>46234</v>
      </c>
      <c r="P20" s="10">
        <v>46298</v>
      </c>
      <c r="Q20" s="11" t="s">
        <v>27</v>
      </c>
      <c r="R20" s="11" t="s">
        <v>28</v>
      </c>
    </row>
    <row r="21" ht="10.95" customHeight="true" customFormat="true" s="9">
      <c r="A21" s="14" t="s">
        <v>44</v>
      </c>
      <c r="B21" s="14"/>
      <c r="C21" s="14"/>
      <c r="D21" s="14"/>
      <c r="E21" s="14"/>
      <c r="F21" s="15">
        <f ca="1">F20</f>
        <v>0</v>
      </c>
      <c r="G21" s="14"/>
      <c r="H21" s="16">
        <f ca="1">H20</f>
        <v>0</v>
      </c>
      <c r="I21" s="16">
        <f ca="1">I20</f>
        <v>0</v>
      </c>
      <c r="J21" s="16">
        <f ca="1">J20</f>
        <v>0</v>
      </c>
      <c r="K21" s="14"/>
      <c r="L21" s="16">
        <f ca="1">L20</f>
        <v>0</v>
      </c>
      <c r="M21" s="14"/>
      <c r="N21" s="14"/>
      <c r="O21" s="14"/>
      <c r="P21" s="14"/>
      <c r="Q21" s="14"/>
      <c r="R21" s="14"/>
    </row>
    <row r="22" ht="13.35" customHeight="true"/>
    <row r="23" ht="12.1" customHeight="true" customFormat="true" s="5">
      <c r="A23" s="8" t="s">
        <v>45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0.95" customHeight="true" customFormat="true" s="9">
      <c r="A24" s="10">
        <v>46268</v>
      </c>
      <c r="B24" s="11" t="s">
        <v>22</v>
      </c>
      <c r="C24" s="11" t="s">
        <v>46</v>
      </c>
      <c r="D24" s="11" t="s">
        <v>47</v>
      </c>
      <c r="E24" s="11" t="s">
        <v>48</v>
      </c>
      <c r="F24" s="12">
        <v>-1.0000</v>
      </c>
      <c r="G24" s="12">
        <v>350.0000</v>
      </c>
      <c r="H24" s="13">
        <v>0</v>
      </c>
      <c r="I24" s="13">
        <v>-35.0000</v>
      </c>
      <c r="J24" s="13">
        <v>-385.0000</v>
      </c>
      <c r="K24" s="13">
        <v>-385.0000</v>
      </c>
      <c r="L24" s="13">
        <v>-350.0000</v>
      </c>
      <c r="M24" s="11" t="s">
        <v>49</v>
      </c>
      <c r="N24" s="10">
        <v>46268</v>
      </c>
      <c r="O24" s="10">
        <v>46281</v>
      </c>
      <c r="P24" s="10">
        <v>46304</v>
      </c>
      <c r="Q24" s="11" t="s">
        <v>27</v>
      </c>
      <c r="R24" s="11" t="s">
        <v>28</v>
      </c>
    </row>
    <row r="25" ht="10.95" customHeight="true" customFormat="true" s="9">
      <c r="A25" s="14" t="s">
        <v>50</v>
      </c>
      <c r="B25" s="14"/>
      <c r="C25" s="14"/>
      <c r="D25" s="14"/>
      <c r="E25" s="14"/>
      <c r="F25" s="15">
        <f ca="1">F24</f>
        <v>0</v>
      </c>
      <c r="G25" s="14"/>
      <c r="H25" s="16">
        <f ca="1">H24</f>
        <v>0</v>
      </c>
      <c r="I25" s="16">
        <f ca="1">I24</f>
        <v>0</v>
      </c>
      <c r="J25" s="16">
        <f ca="1">J24</f>
        <v>0</v>
      </c>
      <c r="K25" s="14"/>
      <c r="L25" s="16">
        <f ca="1">L24</f>
        <v>0</v>
      </c>
      <c r="M25" s="14"/>
      <c r="N25" s="14"/>
      <c r="O25" s="14"/>
      <c r="P25" s="14"/>
      <c r="Q25" s="14"/>
      <c r="R25" s="14"/>
    </row>
    <row r="26" ht="13.35" customHeight="true"/>
    <row r="27" ht="12.1" customHeight="true" customFormat="true" s="5">
      <c r="A27" s="8" t="s">
        <v>51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0.95" customHeight="true" customFormat="true" s="9">
      <c r="A28" s="10">
        <v>46301</v>
      </c>
      <c r="B28" s="11" t="s">
        <v>52</v>
      </c>
      <c r="C28" s="11" t="s">
        <v>53</v>
      </c>
      <c r="D28" s="11"/>
      <c r="E28" s="11" t="s">
        <v>54</v>
      </c>
      <c r="F28" s="12">
        <v>1.0000</v>
      </c>
      <c r="G28" s="12">
        <v>5625</v>
      </c>
      <c r="H28" s="13">
        <v>0</v>
      </c>
      <c r="I28" s="13">
        <v>562.5</v>
      </c>
      <c r="J28" s="13">
        <v>6187.5</v>
      </c>
      <c r="K28" s="13">
        <v>6187.5000</v>
      </c>
      <c r="L28" s="13">
        <v>5625</v>
      </c>
      <c r="M28" s="11" t="s">
        <v>55</v>
      </c>
      <c r="N28" s="10">
        <v>46311</v>
      </c>
      <c r="O28" s="11"/>
      <c r="P28" s="10">
        <v>46313</v>
      </c>
      <c r="Q28" s="11" t="s">
        <v>56</v>
      </c>
      <c r="R28" s="11" t="s">
        <v>28</v>
      </c>
    </row>
    <row r="29" ht="10.95" customHeight="true" customFormat="true" s="9">
      <c r="A29" s="14" t="s">
        <v>57</v>
      </c>
      <c r="B29" s="14"/>
      <c r="C29" s="14"/>
      <c r="D29" s="14"/>
      <c r="E29" s="14"/>
      <c r="F29" s="15">
        <f ca="1">F28</f>
        <v>0</v>
      </c>
      <c r="G29" s="14"/>
      <c r="H29" s="16">
        <f ca="1">H28</f>
        <v>0</v>
      </c>
      <c r="I29" s="16">
        <f ca="1">I28</f>
        <v>0</v>
      </c>
      <c r="J29" s="16">
        <f ca="1">J28</f>
        <v>0</v>
      </c>
      <c r="K29" s="14"/>
      <c r="L29" s="16">
        <f ca="1">L28</f>
        <v>0</v>
      </c>
      <c r="M29" s="14"/>
      <c r="N29" s="14"/>
      <c r="O29" s="14"/>
      <c r="P29" s="14"/>
      <c r="Q29" s="14"/>
      <c r="R29" s="14"/>
    </row>
    <row r="30" ht="13.35" customHeight="true"/>
    <row r="31" ht="12.1" customHeight="true" customFormat="true" s="5">
      <c r="A31" s="8" t="s">
        <v>58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0.95" customHeight="true" customFormat="true" s="9">
      <c r="A32" s="10">
        <v>45885</v>
      </c>
      <c r="B32" s="11" t="s">
        <v>52</v>
      </c>
      <c r="C32" s="11"/>
      <c r="D32" s="11" t="s">
        <v>47</v>
      </c>
      <c r="E32" s="11" t="s">
        <v>59</v>
      </c>
      <c r="F32" s="12">
        <v>6.0000</v>
      </c>
      <c r="G32" s="12">
        <v>700</v>
      </c>
      <c r="H32" s="13">
        <v>0</v>
      </c>
      <c r="I32" s="13">
        <v>420</v>
      </c>
      <c r="J32" s="13">
        <v>4620</v>
      </c>
      <c r="K32" s="13">
        <v>4620.0000</v>
      </c>
      <c r="L32" s="13">
        <v>4200</v>
      </c>
      <c r="M32" s="11" t="s">
        <v>49</v>
      </c>
      <c r="N32" s="10">
        <v>45916</v>
      </c>
      <c r="O32" s="10">
        <v>45946</v>
      </c>
      <c r="P32" s="10">
        <v>46313</v>
      </c>
      <c r="Q32" s="11" t="s">
        <v>27</v>
      </c>
      <c r="R32" s="11" t="s">
        <v>28</v>
      </c>
    </row>
    <row r="33" ht="10.95" customHeight="true" customFormat="true" s="9">
      <c r="A33" s="14" t="s">
        <v>60</v>
      </c>
      <c r="B33" s="14"/>
      <c r="C33" s="14"/>
      <c r="D33" s="14"/>
      <c r="E33" s="14"/>
      <c r="F33" s="15">
        <f ca="1">F32</f>
        <v>0</v>
      </c>
      <c r="G33" s="14"/>
      <c r="H33" s="16">
        <f ca="1">H32</f>
        <v>0</v>
      </c>
      <c r="I33" s="16">
        <f ca="1">I32</f>
        <v>0</v>
      </c>
      <c r="J33" s="16">
        <f ca="1">J32</f>
        <v>0</v>
      </c>
      <c r="K33" s="14"/>
      <c r="L33" s="16">
        <f ca="1">L32</f>
        <v>0</v>
      </c>
      <c r="M33" s="14"/>
      <c r="N33" s="14"/>
      <c r="O33" s="14"/>
      <c r="P33" s="14"/>
      <c r="Q33" s="14"/>
      <c r="R33" s="14"/>
    </row>
    <row r="34" ht="13.35" customHeight="true"/>
    <row r="35" ht="12.1" customHeight="true" customFormat="true" s="5">
      <c r="A35" s="8" t="s">
        <v>61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0.95" customHeight="true" customFormat="true" s="9">
      <c r="A36" s="10">
        <v>46239</v>
      </c>
      <c r="B36" s="11" t="s">
        <v>52</v>
      </c>
      <c r="C36" s="11" t="s">
        <v>62</v>
      </c>
      <c r="D36" s="11" t="s">
        <v>31</v>
      </c>
      <c r="E36" s="11" t="s">
        <v>63</v>
      </c>
      <c r="F36" s="12">
        <v>10.0000</v>
      </c>
      <c r="G36" s="12">
        <v>105.0000</v>
      </c>
      <c r="H36" s="13">
        <v>0</v>
      </c>
      <c r="I36" s="13">
        <v>105.0000</v>
      </c>
      <c r="J36" s="13">
        <v>1155.0000</v>
      </c>
      <c r="K36" s="13">
        <v>1155.0000</v>
      </c>
      <c r="L36" s="13">
        <v>1050.0000</v>
      </c>
      <c r="M36" s="11" t="s">
        <v>64</v>
      </c>
      <c r="N36" s="10">
        <v>46250</v>
      </c>
      <c r="O36" s="10">
        <v>46244</v>
      </c>
      <c r="P36" s="10">
        <v>46297</v>
      </c>
      <c r="Q36" s="11" t="s">
        <v>27</v>
      </c>
      <c r="R36" s="11" t="s">
        <v>28</v>
      </c>
    </row>
    <row r="37" ht="10.95" customHeight="true" customFormat="true" s="9">
      <c r="A37" s="14" t="s">
        <v>65</v>
      </c>
      <c r="B37" s="14"/>
      <c r="C37" s="14"/>
      <c r="D37" s="14"/>
      <c r="E37" s="14"/>
      <c r="F37" s="15">
        <f ca="1">F36</f>
        <v>0</v>
      </c>
      <c r="G37" s="14"/>
      <c r="H37" s="16">
        <f ca="1">H36</f>
        <v>0</v>
      </c>
      <c r="I37" s="16">
        <f ca="1">I36</f>
        <v>0</v>
      </c>
      <c r="J37" s="16">
        <f ca="1">J36</f>
        <v>0</v>
      </c>
      <c r="K37" s="14"/>
      <c r="L37" s="16">
        <f ca="1">L36</f>
        <v>0</v>
      </c>
      <c r="M37" s="14"/>
      <c r="N37" s="14"/>
      <c r="O37" s="14"/>
      <c r="P37" s="14"/>
      <c r="Q37" s="14"/>
      <c r="R37" s="14"/>
    </row>
    <row r="38" ht="13.35" customHeight="true"/>
    <row r="39" ht="12.1" customHeight="true" customFormat="true" s="5">
      <c r="A39" s="8" t="s">
        <v>66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ht="10.95" customHeight="true" customFormat="true" s="9">
      <c r="A40" s="10">
        <v>46239</v>
      </c>
      <c r="B40" s="11" t="s">
        <v>52</v>
      </c>
      <c r="C40" s="11" t="s">
        <v>23</v>
      </c>
      <c r="D40" s="11" t="s">
        <v>31</v>
      </c>
      <c r="E40" s="11" t="s">
        <v>63</v>
      </c>
      <c r="F40" s="12">
        <v>16.0000</v>
      </c>
      <c r="G40" s="12">
        <v>85.0000</v>
      </c>
      <c r="H40" s="13">
        <v>0</v>
      </c>
      <c r="I40" s="13">
        <v>136.0000</v>
      </c>
      <c r="J40" s="13">
        <v>1496.0000</v>
      </c>
      <c r="K40" s="13">
        <v>1496.0000</v>
      </c>
      <c r="L40" s="13">
        <v>1360.0000</v>
      </c>
      <c r="M40" s="11" t="s">
        <v>26</v>
      </c>
      <c r="N40" s="10">
        <v>46250</v>
      </c>
      <c r="O40" s="10">
        <v>46251</v>
      </c>
      <c r="P40" s="10">
        <v>46297</v>
      </c>
      <c r="Q40" s="11" t="s">
        <v>27</v>
      </c>
      <c r="R40" s="11" t="s">
        <v>28</v>
      </c>
    </row>
    <row r="41" ht="10.95" customHeight="true" customFormat="true" s="9">
      <c r="A41" s="14" t="s">
        <v>67</v>
      </c>
      <c r="B41" s="14"/>
      <c r="C41" s="14"/>
      <c r="D41" s="14"/>
      <c r="E41" s="14"/>
      <c r="F41" s="15">
        <f ca="1">F40</f>
        <v>0</v>
      </c>
      <c r="G41" s="14"/>
      <c r="H41" s="16">
        <f ca="1">H40</f>
        <v>0</v>
      </c>
      <c r="I41" s="16">
        <f ca="1">I40</f>
        <v>0</v>
      </c>
      <c r="J41" s="16">
        <f ca="1">J40</f>
        <v>0</v>
      </c>
      <c r="K41" s="14"/>
      <c r="L41" s="16">
        <f ca="1">L40</f>
        <v>0</v>
      </c>
      <c r="M41" s="14"/>
      <c r="N41" s="14"/>
      <c r="O41" s="14"/>
      <c r="P41" s="14"/>
      <c r="Q41" s="14"/>
      <c r="R41" s="14"/>
    </row>
    <row r="42" ht="13.35" customHeight="true"/>
    <row r="43" ht="12.1" customHeight="true" customFormat="true" s="5">
      <c r="A43" s="8" t="s">
        <v>68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ht="10.95" customHeight="true" customFormat="true" s="9">
      <c r="A44" s="10">
        <v>46229</v>
      </c>
      <c r="B44" s="11" t="s">
        <v>52</v>
      </c>
      <c r="C44" s="11"/>
      <c r="D44" s="11" t="s">
        <v>69</v>
      </c>
      <c r="E44" s="11" t="s">
        <v>70</v>
      </c>
      <c r="F44" s="12">
        <v>4.0000</v>
      </c>
      <c r="G44" s="12">
        <v>250.0000</v>
      </c>
      <c r="H44" s="13">
        <v>0</v>
      </c>
      <c r="I44" s="13">
        <v>100.0000</v>
      </c>
      <c r="J44" s="13">
        <v>1100.0000</v>
      </c>
      <c r="K44" s="13">
        <v>1100.0000</v>
      </c>
      <c r="L44" s="13">
        <v>1000.0000</v>
      </c>
      <c r="M44" s="11" t="s">
        <v>71</v>
      </c>
      <c r="N44" s="10">
        <v>46239</v>
      </c>
      <c r="O44" s="10">
        <v>46239</v>
      </c>
      <c r="P44" s="10">
        <v>46297</v>
      </c>
      <c r="Q44" s="11" t="s">
        <v>56</v>
      </c>
      <c r="R44" s="11" t="s">
        <v>28</v>
      </c>
    </row>
    <row r="45" ht="10.95" customHeight="true" customFormat="true" s="9">
      <c r="A45" s="14" t="s">
        <v>72</v>
      </c>
      <c r="B45" s="14"/>
      <c r="C45" s="14"/>
      <c r="D45" s="14"/>
      <c r="E45" s="14"/>
      <c r="F45" s="15">
        <f ca="1">F44</f>
        <v>0</v>
      </c>
      <c r="G45" s="14"/>
      <c r="H45" s="16">
        <f ca="1">H44</f>
        <v>0</v>
      </c>
      <c r="I45" s="16">
        <f ca="1">I44</f>
        <v>0</v>
      </c>
      <c r="J45" s="16">
        <f ca="1">J44</f>
        <v>0</v>
      </c>
      <c r="K45" s="14"/>
      <c r="L45" s="16">
        <f ca="1">L44</f>
        <v>0</v>
      </c>
      <c r="M45" s="14"/>
      <c r="N45" s="14"/>
      <c r="O45" s="14"/>
      <c r="P45" s="14"/>
      <c r="Q45" s="14"/>
      <c r="R45" s="14"/>
    </row>
    <row r="46" ht="13.35" customHeight="true"/>
    <row r="47" ht="12.1" customHeight="true" customFormat="true" s="5">
      <c r="A47" s="8" t="s">
        <v>73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ht="21.3" customHeight="true" customFormat="true" s="9">
      <c r="A48" s="10">
        <v>46220</v>
      </c>
      <c r="B48" s="11" t="s">
        <v>52</v>
      </c>
      <c r="C48" s="11"/>
      <c r="D48" s="11" t="s">
        <v>36</v>
      </c>
      <c r="E48" s="17" t="s">
        <v>74</v>
      </c>
      <c r="F48" s="12">
        <v>1.0000</v>
      </c>
      <c r="G48" s="12">
        <v>500.0000</v>
      </c>
      <c r="H48" s="13">
        <v>0</v>
      </c>
      <c r="I48" s="13">
        <v>50.0000</v>
      </c>
      <c r="J48" s="13">
        <v>550.0000</v>
      </c>
      <c r="K48" s="13">
        <v>550.0000</v>
      </c>
      <c r="L48" s="13">
        <v>500.0000</v>
      </c>
      <c r="M48" s="11" t="s">
        <v>38</v>
      </c>
      <c r="N48" s="10">
        <v>46229</v>
      </c>
      <c r="O48" s="10">
        <v>46229</v>
      </c>
      <c r="P48" s="10">
        <v>46297</v>
      </c>
      <c r="Q48" s="11" t="s">
        <v>27</v>
      </c>
      <c r="R48" s="11" t="s">
        <v>28</v>
      </c>
    </row>
    <row r="49" ht="10.95" customHeight="true" customFormat="true" s="9">
      <c r="A49" s="14" t="s">
        <v>75</v>
      </c>
      <c r="B49" s="14"/>
      <c r="C49" s="14"/>
      <c r="D49" s="14"/>
      <c r="E49" s="14"/>
      <c r="F49" s="15">
        <f ca="1">F48</f>
        <v>0</v>
      </c>
      <c r="G49" s="14"/>
      <c r="H49" s="16">
        <f ca="1">H48</f>
        <v>0</v>
      </c>
      <c r="I49" s="16">
        <f ca="1">I48</f>
        <v>0</v>
      </c>
      <c r="J49" s="16">
        <f ca="1">J48</f>
        <v>0</v>
      </c>
      <c r="K49" s="14"/>
      <c r="L49" s="16">
        <f ca="1">L48</f>
        <v>0</v>
      </c>
      <c r="M49" s="14"/>
      <c r="N49" s="14"/>
      <c r="O49" s="14"/>
      <c r="P49" s="14"/>
      <c r="Q49" s="14"/>
      <c r="R49" s="14"/>
    </row>
    <row r="50" ht="13.35" customHeight="true"/>
    <row r="51" ht="12.1" customHeight="true" customFormat="true" s="5">
      <c r="A51" s="8" t="s">
        <v>76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ht="10.95" customHeight="true" customFormat="true" s="9">
      <c r="A52" s="10">
        <v>46233</v>
      </c>
      <c r="B52" s="11" t="s">
        <v>52</v>
      </c>
      <c r="C52" s="11"/>
      <c r="D52" s="11" t="s">
        <v>69</v>
      </c>
      <c r="E52" s="11" t="s">
        <v>70</v>
      </c>
      <c r="F52" s="12">
        <v>1.0000</v>
      </c>
      <c r="G52" s="12">
        <v>250.0000</v>
      </c>
      <c r="H52" s="13">
        <v>0</v>
      </c>
      <c r="I52" s="13">
        <v>25.0000</v>
      </c>
      <c r="J52" s="13">
        <v>275.0000</v>
      </c>
      <c r="K52" s="13">
        <v>275.0000</v>
      </c>
      <c r="L52" s="13">
        <v>250.0000</v>
      </c>
      <c r="M52" s="11" t="s">
        <v>77</v>
      </c>
      <c r="N52" s="10">
        <v>46243</v>
      </c>
      <c r="O52" s="10">
        <v>46239</v>
      </c>
      <c r="P52" s="10">
        <v>46297</v>
      </c>
      <c r="Q52" s="11" t="s">
        <v>27</v>
      </c>
      <c r="R52" s="11" t="s">
        <v>28</v>
      </c>
    </row>
    <row r="53" ht="10.95" customHeight="true" customFormat="true" s="9">
      <c r="A53" s="14" t="s">
        <v>78</v>
      </c>
      <c r="B53" s="14"/>
      <c r="C53" s="14"/>
      <c r="D53" s="14"/>
      <c r="E53" s="14"/>
      <c r="F53" s="15">
        <f ca="1">F52</f>
        <v>0</v>
      </c>
      <c r="G53" s="14"/>
      <c r="H53" s="16">
        <f ca="1">H52</f>
        <v>0</v>
      </c>
      <c r="I53" s="16">
        <f ca="1">I52</f>
        <v>0</v>
      </c>
      <c r="J53" s="16">
        <f ca="1">J52</f>
        <v>0</v>
      </c>
      <c r="K53" s="14"/>
      <c r="L53" s="16">
        <f ca="1">L52</f>
        <v>0</v>
      </c>
      <c r="M53" s="14"/>
      <c r="N53" s="14"/>
      <c r="O53" s="14"/>
      <c r="P53" s="14"/>
      <c r="Q53" s="14"/>
      <c r="R53" s="14"/>
    </row>
    <row r="54" ht="13.35" customHeight="true"/>
    <row r="55" ht="12.1" customHeight="true" customFormat="true" s="5">
      <c r="A55" s="8" t="s">
        <v>79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ht="10.95" customHeight="true" customFormat="true" s="9">
      <c r="A56" s="10">
        <v>46234</v>
      </c>
      <c r="B56" s="11" t="s">
        <v>52</v>
      </c>
      <c r="C56" s="11"/>
      <c r="D56" s="11" t="s">
        <v>41</v>
      </c>
      <c r="E56" s="11" t="s">
        <v>80</v>
      </c>
      <c r="F56" s="12">
        <v>1.0000</v>
      </c>
      <c r="G56" s="12">
        <v>500.0000</v>
      </c>
      <c r="H56" s="13">
        <v>0</v>
      </c>
      <c r="I56" s="13">
        <v>50.0000</v>
      </c>
      <c r="J56" s="13">
        <v>550.0000</v>
      </c>
      <c r="K56" s="13">
        <v>550.0000</v>
      </c>
      <c r="L56" s="13">
        <v>500.0000</v>
      </c>
      <c r="M56" s="11" t="s">
        <v>43</v>
      </c>
      <c r="N56" s="10">
        <v>46244</v>
      </c>
      <c r="O56" s="10">
        <v>46234</v>
      </c>
      <c r="P56" s="10">
        <v>46298</v>
      </c>
      <c r="Q56" s="11" t="s">
        <v>27</v>
      </c>
      <c r="R56" s="11" t="s">
        <v>28</v>
      </c>
    </row>
    <row r="57" ht="10.95" customHeight="true" customFormat="true" s="9">
      <c r="A57" s="14" t="s">
        <v>81</v>
      </c>
      <c r="B57" s="14"/>
      <c r="C57" s="14"/>
      <c r="D57" s="14"/>
      <c r="E57" s="14"/>
      <c r="F57" s="15">
        <f ca="1">F56</f>
        <v>0</v>
      </c>
      <c r="G57" s="14"/>
      <c r="H57" s="16">
        <f ca="1">H56</f>
        <v>0</v>
      </c>
      <c r="I57" s="16">
        <f ca="1">I56</f>
        <v>0</v>
      </c>
      <c r="J57" s="16">
        <f ca="1">J56</f>
        <v>0</v>
      </c>
      <c r="K57" s="14"/>
      <c r="L57" s="16">
        <f ca="1">L56</f>
        <v>0</v>
      </c>
      <c r="M57" s="14"/>
      <c r="N57" s="14"/>
      <c r="O57" s="14"/>
      <c r="P57" s="14"/>
      <c r="Q57" s="14"/>
      <c r="R57" s="14"/>
    </row>
    <row r="58" ht="13.35" customHeight="true"/>
    <row r="59" ht="12.1" customHeight="true" customFormat="true" s="5">
      <c r="A59" s="8" t="s">
        <v>82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ht="10.95" customHeight="true" customFormat="true" s="9">
      <c r="A60" s="10">
        <v>46226</v>
      </c>
      <c r="B60" s="11" t="s">
        <v>52</v>
      </c>
      <c r="C60" s="11"/>
      <c r="D60" s="11" t="s">
        <v>41</v>
      </c>
      <c r="E60" s="11" t="s">
        <v>83</v>
      </c>
      <c r="F60" s="12">
        <v>1.0000</v>
      </c>
      <c r="G60" s="12">
        <v>450.0000</v>
      </c>
      <c r="H60" s="13">
        <v>0</v>
      </c>
      <c r="I60" s="13">
        <v>45.0000</v>
      </c>
      <c r="J60" s="13">
        <v>495.0000</v>
      </c>
      <c r="K60" s="13">
        <v>1485.0000</v>
      </c>
      <c r="L60" s="13">
        <v>450.0000</v>
      </c>
      <c r="M60" s="11" t="s">
        <v>43</v>
      </c>
      <c r="N60" s="10">
        <v>46239</v>
      </c>
      <c r="O60" s="10">
        <v>46239</v>
      </c>
      <c r="P60" s="10">
        <v>46298</v>
      </c>
      <c r="Q60" s="11" t="s">
        <v>27</v>
      </c>
      <c r="R60" s="11" t="s">
        <v>28</v>
      </c>
    </row>
    <row r="61" ht="10.95" customHeight="true" customFormat="true" s="9">
      <c r="A61" s="18">
        <v>46226</v>
      </c>
      <c r="B61" s="19" t="s">
        <v>52</v>
      </c>
      <c r="C61" s="19"/>
      <c r="D61" s="19" t="s">
        <v>41</v>
      </c>
      <c r="E61" s="19" t="s">
        <v>84</v>
      </c>
      <c r="F61" s="20">
        <v>1.0000</v>
      </c>
      <c r="G61" s="20">
        <v>450.0000</v>
      </c>
      <c r="H61" s="21">
        <v>0</v>
      </c>
      <c r="I61" s="21">
        <v>45.0000</v>
      </c>
      <c r="J61" s="21">
        <v>495.0000</v>
      </c>
      <c r="K61" s="21">
        <v>1485.0000</v>
      </c>
      <c r="L61" s="21">
        <v>450.0000</v>
      </c>
      <c r="M61" s="19" t="s">
        <v>43</v>
      </c>
      <c r="N61" s="18">
        <v>46239</v>
      </c>
      <c r="O61" s="18">
        <v>46239</v>
      </c>
      <c r="P61" s="18">
        <v>46298</v>
      </c>
      <c r="Q61" s="19" t="s">
        <v>27</v>
      </c>
      <c r="R61" s="19" t="s">
        <v>28</v>
      </c>
    </row>
    <row r="62" ht="10.95" customHeight="true" customFormat="true" s="9">
      <c r="A62" s="18">
        <v>46226</v>
      </c>
      <c r="B62" s="19" t="s">
        <v>52</v>
      </c>
      <c r="C62" s="19"/>
      <c r="D62" s="19" t="s">
        <v>41</v>
      </c>
      <c r="E62" s="19" t="s">
        <v>85</v>
      </c>
      <c r="F62" s="20">
        <v>1.0000</v>
      </c>
      <c r="G62" s="20">
        <v>450.0000</v>
      </c>
      <c r="H62" s="21">
        <v>0</v>
      </c>
      <c r="I62" s="21">
        <v>45.0000</v>
      </c>
      <c r="J62" s="21">
        <v>495.0000</v>
      </c>
      <c r="K62" s="21">
        <v>1485.0000</v>
      </c>
      <c r="L62" s="21">
        <v>450.0000</v>
      </c>
      <c r="M62" s="19" t="s">
        <v>43</v>
      </c>
      <c r="N62" s="18">
        <v>46239</v>
      </c>
      <c r="O62" s="18">
        <v>46239</v>
      </c>
      <c r="P62" s="18">
        <v>46298</v>
      </c>
      <c r="Q62" s="19" t="s">
        <v>27</v>
      </c>
      <c r="R62" s="19" t="s">
        <v>28</v>
      </c>
    </row>
    <row r="63" ht="10.95" customHeight="true" customFormat="true" s="9">
      <c r="A63" s="14" t="s">
        <v>86</v>
      </c>
      <c r="B63" s="14"/>
      <c r="C63" s="14"/>
      <c r="D63" s="14"/>
      <c r="E63" s="14"/>
      <c r="F63" s="15">
        <f ca="1">SUM(F60:F62)</f>
        <v>0</v>
      </c>
      <c r="G63" s="14"/>
      <c r="H63" s="16">
        <f ca="1">SUM(H60:H62)</f>
        <v>0</v>
      </c>
      <c r="I63" s="16">
        <f ca="1">SUM(I60:I62)</f>
        <v>0</v>
      </c>
      <c r="J63" s="16">
        <f ca="1">SUM(J60:J62)</f>
        <v>0</v>
      </c>
      <c r="K63" s="14"/>
      <c r="L63" s="16">
        <f ca="1">SUM(L60:L62)</f>
        <v>0</v>
      </c>
      <c r="M63" s="14"/>
      <c r="N63" s="14"/>
      <c r="O63" s="14"/>
      <c r="P63" s="14"/>
      <c r="Q63" s="14"/>
      <c r="R63" s="14"/>
    </row>
    <row r="64" ht="13.35" customHeight="true"/>
    <row r="65" ht="12.1" customHeight="true" customFormat="true" s="5">
      <c r="A65" s="8" t="s">
        <v>87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ht="10.95" customHeight="true" customFormat="true" s="9">
      <c r="A66" s="10">
        <v>46239</v>
      </c>
      <c r="B66" s="11" t="s">
        <v>52</v>
      </c>
      <c r="C66" s="11" t="s">
        <v>88</v>
      </c>
      <c r="D66" s="11" t="s">
        <v>47</v>
      </c>
      <c r="E66" s="11" t="s">
        <v>89</v>
      </c>
      <c r="F66" s="12">
        <v>8.0000</v>
      </c>
      <c r="G66" s="12">
        <v>700.0000</v>
      </c>
      <c r="H66" s="13">
        <v>0</v>
      </c>
      <c r="I66" s="13">
        <v>560.0000</v>
      </c>
      <c r="J66" s="13">
        <v>6160.0000</v>
      </c>
      <c r="K66" s="13">
        <v>6160.0000</v>
      </c>
      <c r="L66" s="13">
        <v>5600.0000</v>
      </c>
      <c r="M66" s="11" t="s">
        <v>90</v>
      </c>
      <c r="N66" s="10">
        <v>46250</v>
      </c>
      <c r="O66" s="10">
        <v>46250</v>
      </c>
      <c r="P66" s="10">
        <v>46299</v>
      </c>
      <c r="Q66" s="11" t="s">
        <v>27</v>
      </c>
      <c r="R66" s="11" t="s">
        <v>28</v>
      </c>
    </row>
    <row r="67" ht="10.95" customHeight="true" customFormat="true" s="9">
      <c r="A67" s="14" t="s">
        <v>91</v>
      </c>
      <c r="B67" s="14"/>
      <c r="C67" s="14"/>
      <c r="D67" s="14"/>
      <c r="E67" s="14"/>
      <c r="F67" s="15">
        <f ca="1">F66</f>
        <v>0</v>
      </c>
      <c r="G67" s="14"/>
      <c r="H67" s="16">
        <f ca="1">H66</f>
        <v>0</v>
      </c>
      <c r="I67" s="16">
        <f ca="1">I66</f>
        <v>0</v>
      </c>
      <c r="J67" s="16">
        <f ca="1">J66</f>
        <v>0</v>
      </c>
      <c r="K67" s="14"/>
      <c r="L67" s="16">
        <f ca="1">L66</f>
        <v>0</v>
      </c>
      <c r="M67" s="14"/>
      <c r="N67" s="14"/>
      <c r="O67" s="14"/>
      <c r="P67" s="14"/>
      <c r="Q67" s="14"/>
      <c r="R67" s="14"/>
    </row>
    <row r="68" ht="13.35" customHeight="true"/>
    <row r="69" ht="12.1" customHeight="true" customFormat="true" s="5">
      <c r="A69" s="8" t="s">
        <v>92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ht="21.3" customHeight="true" customFormat="true" s="9">
      <c r="A70" s="10">
        <v>46220</v>
      </c>
      <c r="B70" s="11" t="s">
        <v>52</v>
      </c>
      <c r="C70" s="11" t="s">
        <v>93</v>
      </c>
      <c r="D70" s="11" t="s">
        <v>36</v>
      </c>
      <c r="E70" s="17" t="s">
        <v>74</v>
      </c>
      <c r="F70" s="12">
        <v>1.0000</v>
      </c>
      <c r="G70" s="12">
        <v>500.0000</v>
      </c>
      <c r="H70" s="13">
        <v>0</v>
      </c>
      <c r="I70" s="13">
        <v>50.0000</v>
      </c>
      <c r="J70" s="13">
        <v>550.0000</v>
      </c>
      <c r="K70" s="13">
        <v>550.0000</v>
      </c>
      <c r="L70" s="13">
        <v>500.0000</v>
      </c>
      <c r="M70" s="11" t="s">
        <v>38</v>
      </c>
      <c r="N70" s="10">
        <v>46229</v>
      </c>
      <c r="O70" s="10">
        <v>46229</v>
      </c>
      <c r="P70" s="10">
        <v>46299</v>
      </c>
      <c r="Q70" s="11" t="s">
        <v>27</v>
      </c>
      <c r="R70" s="11" t="s">
        <v>28</v>
      </c>
    </row>
    <row r="71" ht="10.95" customHeight="true" customFormat="true" s="9">
      <c r="A71" s="14" t="s">
        <v>94</v>
      </c>
      <c r="B71" s="14"/>
      <c r="C71" s="14"/>
      <c r="D71" s="14"/>
      <c r="E71" s="14"/>
      <c r="F71" s="15">
        <f ca="1">F70</f>
        <v>0</v>
      </c>
      <c r="G71" s="14"/>
      <c r="H71" s="16">
        <f ca="1">H70</f>
        <v>0</v>
      </c>
      <c r="I71" s="16">
        <f ca="1">I70</f>
        <v>0</v>
      </c>
      <c r="J71" s="16">
        <f ca="1">J70</f>
        <v>0</v>
      </c>
      <c r="K71" s="14"/>
      <c r="L71" s="16">
        <f ca="1">L70</f>
        <v>0</v>
      </c>
      <c r="M71" s="14"/>
      <c r="N71" s="14"/>
      <c r="O71" s="14"/>
      <c r="P71" s="14"/>
      <c r="Q71" s="14"/>
      <c r="R71" s="14"/>
    </row>
    <row r="72" ht="13.35" customHeight="true"/>
    <row r="73" ht="12.1" customHeight="true" customFormat="true" s="5">
      <c r="A73" s="8" t="s">
        <v>95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ht="21.3" customHeight="true" customFormat="true" s="9">
      <c r="A74" s="10">
        <v>46220</v>
      </c>
      <c r="B74" s="11" t="s">
        <v>52</v>
      </c>
      <c r="C74" s="11" t="s">
        <v>93</v>
      </c>
      <c r="D74" s="11" t="s">
        <v>36</v>
      </c>
      <c r="E74" s="17" t="s">
        <v>74</v>
      </c>
      <c r="F74" s="12">
        <v>1.0000</v>
      </c>
      <c r="G74" s="12">
        <v>500.0000</v>
      </c>
      <c r="H74" s="13">
        <v>0</v>
      </c>
      <c r="I74" s="13">
        <v>50.0000</v>
      </c>
      <c r="J74" s="13">
        <v>550.0000</v>
      </c>
      <c r="K74" s="13">
        <v>550.0000</v>
      </c>
      <c r="L74" s="13">
        <v>500.0000</v>
      </c>
      <c r="M74" s="11" t="s">
        <v>96</v>
      </c>
      <c r="N74" s="10">
        <v>46229</v>
      </c>
      <c r="O74" s="10">
        <v>46229</v>
      </c>
      <c r="P74" s="10">
        <v>46299</v>
      </c>
      <c r="Q74" s="11" t="s">
        <v>27</v>
      </c>
      <c r="R74" s="11" t="s">
        <v>28</v>
      </c>
    </row>
    <row r="75" ht="10.95" customHeight="true" customFormat="true" s="9">
      <c r="A75" s="14" t="s">
        <v>97</v>
      </c>
      <c r="B75" s="14"/>
      <c r="C75" s="14"/>
      <c r="D75" s="14"/>
      <c r="E75" s="14"/>
      <c r="F75" s="15">
        <f ca="1">F74</f>
        <v>0</v>
      </c>
      <c r="G75" s="14"/>
      <c r="H75" s="16">
        <f ca="1">H74</f>
        <v>0</v>
      </c>
      <c r="I75" s="16">
        <f ca="1">I74</f>
        <v>0</v>
      </c>
      <c r="J75" s="16">
        <f ca="1">J74</f>
        <v>0</v>
      </c>
      <c r="K75" s="14"/>
      <c r="L75" s="16">
        <f ca="1">L74</f>
        <v>0</v>
      </c>
      <c r="M75" s="14"/>
      <c r="N75" s="14"/>
      <c r="O75" s="14"/>
      <c r="P75" s="14"/>
      <c r="Q75" s="14"/>
      <c r="R75" s="14"/>
    </row>
    <row r="76" ht="13.35" customHeight="true"/>
    <row r="77" ht="12.1" customHeight="true" customFormat="true" s="5">
      <c r="A77" s="8" t="s">
        <v>98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ht="21.3" customHeight="true" customFormat="true" s="9">
      <c r="A78" s="10">
        <v>46220</v>
      </c>
      <c r="B78" s="11" t="s">
        <v>52</v>
      </c>
      <c r="C78" s="11" t="s">
        <v>93</v>
      </c>
      <c r="D78" s="11" t="s">
        <v>36</v>
      </c>
      <c r="E78" s="17" t="s">
        <v>74</v>
      </c>
      <c r="F78" s="12">
        <v>1.0000</v>
      </c>
      <c r="G78" s="12">
        <v>500.0000</v>
      </c>
      <c r="H78" s="13">
        <v>0</v>
      </c>
      <c r="I78" s="13">
        <v>50.0000</v>
      </c>
      <c r="J78" s="13">
        <v>550.0000</v>
      </c>
      <c r="K78" s="13">
        <v>550.0000</v>
      </c>
      <c r="L78" s="13">
        <v>500.0000</v>
      </c>
      <c r="M78" s="11" t="s">
        <v>99</v>
      </c>
      <c r="N78" s="10">
        <v>46229</v>
      </c>
      <c r="O78" s="10">
        <v>46229</v>
      </c>
      <c r="P78" s="10">
        <v>46299</v>
      </c>
      <c r="Q78" s="11" t="s">
        <v>27</v>
      </c>
      <c r="R78" s="11" t="s">
        <v>28</v>
      </c>
    </row>
    <row r="79" ht="10.95" customHeight="true" customFormat="true" s="9">
      <c r="A79" s="14" t="s">
        <v>100</v>
      </c>
      <c r="B79" s="14"/>
      <c r="C79" s="14"/>
      <c r="D79" s="14"/>
      <c r="E79" s="14"/>
      <c r="F79" s="15">
        <f ca="1">F78</f>
        <v>0</v>
      </c>
      <c r="G79" s="14"/>
      <c r="H79" s="16">
        <f ca="1">H78</f>
        <v>0</v>
      </c>
      <c r="I79" s="16">
        <f ca="1">I78</f>
        <v>0</v>
      </c>
      <c r="J79" s="16">
        <f ca="1">J78</f>
        <v>0</v>
      </c>
      <c r="K79" s="14"/>
      <c r="L79" s="16">
        <f ca="1">L78</f>
        <v>0</v>
      </c>
      <c r="M79" s="14"/>
      <c r="N79" s="14"/>
      <c r="O79" s="14"/>
      <c r="P79" s="14"/>
      <c r="Q79" s="14"/>
      <c r="R79" s="14"/>
    </row>
    <row r="80" ht="13.35" customHeight="true"/>
    <row r="81" ht="12.1" customHeight="true" customFormat="true" s="5">
      <c r="A81" s="8" t="s">
        <v>101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ht="21.3" customHeight="true" customFormat="true" s="9">
      <c r="A82" s="10">
        <v>46220</v>
      </c>
      <c r="B82" s="11" t="s">
        <v>52</v>
      </c>
      <c r="C82" s="11" t="s">
        <v>93</v>
      </c>
      <c r="D82" s="11" t="s">
        <v>36</v>
      </c>
      <c r="E82" s="17" t="s">
        <v>74</v>
      </c>
      <c r="F82" s="12">
        <v>1.0000</v>
      </c>
      <c r="G82" s="12">
        <v>500.0000</v>
      </c>
      <c r="H82" s="13">
        <v>0</v>
      </c>
      <c r="I82" s="13">
        <v>50.0000</v>
      </c>
      <c r="J82" s="13">
        <v>550.0000</v>
      </c>
      <c r="K82" s="13">
        <v>550.0000</v>
      </c>
      <c r="L82" s="13">
        <v>500.0000</v>
      </c>
      <c r="M82" s="11" t="s">
        <v>102</v>
      </c>
      <c r="N82" s="10">
        <v>46229</v>
      </c>
      <c r="O82" s="10">
        <v>46229</v>
      </c>
      <c r="P82" s="10">
        <v>46299</v>
      </c>
      <c r="Q82" s="11" t="s">
        <v>27</v>
      </c>
      <c r="R82" s="11" t="s">
        <v>28</v>
      </c>
    </row>
    <row r="83" ht="10.95" customHeight="true" customFormat="true" s="9">
      <c r="A83" s="14" t="s">
        <v>103</v>
      </c>
      <c r="B83" s="14"/>
      <c r="C83" s="14"/>
      <c r="D83" s="14"/>
      <c r="E83" s="14"/>
      <c r="F83" s="15">
        <f ca="1">F82</f>
        <v>0</v>
      </c>
      <c r="G83" s="14"/>
      <c r="H83" s="16">
        <f ca="1">H82</f>
        <v>0</v>
      </c>
      <c r="I83" s="16">
        <f ca="1">I82</f>
        <v>0</v>
      </c>
      <c r="J83" s="16">
        <f ca="1">J82</f>
        <v>0</v>
      </c>
      <c r="K83" s="14"/>
      <c r="L83" s="16">
        <f ca="1">L82</f>
        <v>0</v>
      </c>
      <c r="M83" s="14"/>
      <c r="N83" s="14"/>
      <c r="O83" s="14"/>
      <c r="P83" s="14"/>
      <c r="Q83" s="14"/>
      <c r="R83" s="14"/>
    </row>
    <row r="84" ht="13.35" customHeight="true"/>
    <row r="85" ht="12.1" customHeight="true" customFormat="true" s="5">
      <c r="A85" s="8" t="s">
        <v>104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ht="10.95" customHeight="true" customFormat="true" s="9">
      <c r="A86" s="10">
        <v>46249</v>
      </c>
      <c r="B86" s="11" t="s">
        <v>52</v>
      </c>
      <c r="C86" s="11"/>
      <c r="D86" s="11" t="s">
        <v>105</v>
      </c>
      <c r="E86" s="11" t="s">
        <v>106</v>
      </c>
      <c r="F86" s="12">
        <v>2.0000</v>
      </c>
      <c r="G86" s="12">
        <v>300</v>
      </c>
      <c r="H86" s="13">
        <v>0</v>
      </c>
      <c r="I86" s="13">
        <v>60</v>
      </c>
      <c r="J86" s="13">
        <v>660</v>
      </c>
      <c r="K86" s="13">
        <v>660.0000</v>
      </c>
      <c r="L86" s="13">
        <v>600</v>
      </c>
      <c r="M86" s="11" t="s">
        <v>71</v>
      </c>
      <c r="N86" s="10">
        <v>46265</v>
      </c>
      <c r="O86" s="11"/>
      <c r="P86" s="10">
        <v>46299</v>
      </c>
      <c r="Q86" s="11" t="s">
        <v>56</v>
      </c>
      <c r="R86" s="11" t="s">
        <v>28</v>
      </c>
    </row>
    <row r="87" ht="10.95" customHeight="true" customFormat="true" s="9">
      <c r="A87" s="14" t="s">
        <v>107</v>
      </c>
      <c r="B87" s="14"/>
      <c r="C87" s="14"/>
      <c r="D87" s="14"/>
      <c r="E87" s="14"/>
      <c r="F87" s="15">
        <f ca="1">F86</f>
        <v>0</v>
      </c>
      <c r="G87" s="14"/>
      <c r="H87" s="16">
        <f ca="1">H86</f>
        <v>0</v>
      </c>
      <c r="I87" s="16">
        <f ca="1">I86</f>
        <v>0</v>
      </c>
      <c r="J87" s="16">
        <f ca="1">J86</f>
        <v>0</v>
      </c>
      <c r="K87" s="14"/>
      <c r="L87" s="16">
        <f ca="1">L86</f>
        <v>0</v>
      </c>
      <c r="M87" s="14"/>
      <c r="N87" s="14"/>
      <c r="O87" s="14"/>
      <c r="P87" s="14"/>
      <c r="Q87" s="14"/>
      <c r="R87" s="14"/>
    </row>
    <row r="88" ht="13.35" customHeight="true"/>
    <row r="89" ht="12.1" customHeight="true" customFormat="true" s="5">
      <c r="A89" s="8" t="s">
        <v>108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ht="10.95" customHeight="true" customFormat="true" s="9">
      <c r="A90" s="10">
        <v>46254</v>
      </c>
      <c r="B90" s="11" t="s">
        <v>52</v>
      </c>
      <c r="C90" s="11" t="s">
        <v>109</v>
      </c>
      <c r="D90" s="11" t="s">
        <v>24</v>
      </c>
      <c r="E90" s="11" t="s">
        <v>110</v>
      </c>
      <c r="F90" s="12">
        <v>5.0000</v>
      </c>
      <c r="G90" s="12">
        <v>650.0000</v>
      </c>
      <c r="H90" s="13">
        <v>0</v>
      </c>
      <c r="I90" s="13">
        <v>325.0000</v>
      </c>
      <c r="J90" s="13">
        <v>3575.0000</v>
      </c>
      <c r="K90" s="13">
        <v>3575.0000</v>
      </c>
      <c r="L90" s="13">
        <v>3250.0000</v>
      </c>
      <c r="M90" s="11" t="s">
        <v>111</v>
      </c>
      <c r="N90" s="10">
        <v>46270</v>
      </c>
      <c r="O90" s="10">
        <v>46281</v>
      </c>
      <c r="P90" s="10">
        <v>46303</v>
      </c>
      <c r="Q90" s="11" t="s">
        <v>27</v>
      </c>
      <c r="R90" s="11" t="s">
        <v>28</v>
      </c>
    </row>
    <row r="91" ht="10.95" customHeight="true" customFormat="true" s="9">
      <c r="A91" s="14" t="s">
        <v>112</v>
      </c>
      <c r="B91" s="14"/>
      <c r="C91" s="14"/>
      <c r="D91" s="14"/>
      <c r="E91" s="14"/>
      <c r="F91" s="15">
        <f ca="1">F90</f>
        <v>0</v>
      </c>
      <c r="G91" s="14"/>
      <c r="H91" s="16">
        <f ca="1">H90</f>
        <v>0</v>
      </c>
      <c r="I91" s="16">
        <f ca="1">I90</f>
        <v>0</v>
      </c>
      <c r="J91" s="16">
        <f ca="1">J90</f>
        <v>0</v>
      </c>
      <c r="K91" s="14"/>
      <c r="L91" s="16">
        <f ca="1">L90</f>
        <v>0</v>
      </c>
      <c r="M91" s="14"/>
      <c r="N91" s="14"/>
      <c r="O91" s="14"/>
      <c r="P91" s="14"/>
      <c r="Q91" s="14"/>
      <c r="R91" s="14"/>
    </row>
    <row r="92" ht="13.35" customHeight="true"/>
    <row r="93" ht="12.1" customHeight="true" customFormat="true" s="5">
      <c r="A93" s="8" t="s">
        <v>113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ht="10.95" customHeight="true" customFormat="true" s="9">
      <c r="A94" s="10">
        <v>46260</v>
      </c>
      <c r="B94" s="11" t="s">
        <v>52</v>
      </c>
      <c r="C94" s="11" t="s">
        <v>46</v>
      </c>
      <c r="D94" s="11" t="s">
        <v>47</v>
      </c>
      <c r="E94" s="11" t="s">
        <v>114</v>
      </c>
      <c r="F94" s="12">
        <v>6.0000</v>
      </c>
      <c r="G94" s="12">
        <v>700.0000</v>
      </c>
      <c r="H94" s="13">
        <v>0</v>
      </c>
      <c r="I94" s="13">
        <v>420.0000</v>
      </c>
      <c r="J94" s="13">
        <v>4620.0000</v>
      </c>
      <c r="K94" s="13">
        <v>4620.0000</v>
      </c>
      <c r="L94" s="13">
        <v>4200.0000</v>
      </c>
      <c r="M94" s="11" t="s">
        <v>49</v>
      </c>
      <c r="N94" s="10">
        <v>46270</v>
      </c>
      <c r="O94" s="10">
        <v>46281</v>
      </c>
      <c r="P94" s="10">
        <v>46303</v>
      </c>
      <c r="Q94" s="11" t="s">
        <v>27</v>
      </c>
      <c r="R94" s="11" t="s">
        <v>28</v>
      </c>
    </row>
    <row r="95" ht="10.95" customHeight="true" customFormat="true" s="9">
      <c r="A95" s="14" t="s">
        <v>115</v>
      </c>
      <c r="B95" s="14"/>
      <c r="C95" s="14"/>
      <c r="D95" s="14"/>
      <c r="E95" s="14"/>
      <c r="F95" s="15">
        <f ca="1">F94</f>
        <v>0</v>
      </c>
      <c r="G95" s="14"/>
      <c r="H95" s="16">
        <f ca="1">H94</f>
        <v>0</v>
      </c>
      <c r="I95" s="16">
        <f ca="1">I94</f>
        <v>0</v>
      </c>
      <c r="J95" s="16">
        <f ca="1">J94</f>
        <v>0</v>
      </c>
      <c r="K95" s="14"/>
      <c r="L95" s="16">
        <f ca="1">L94</f>
        <v>0</v>
      </c>
      <c r="M95" s="14"/>
      <c r="N95" s="14"/>
      <c r="O95" s="14"/>
      <c r="P95" s="14"/>
      <c r="Q95" s="14"/>
      <c r="R95" s="14"/>
    </row>
    <row r="96" ht="13.35" customHeight="true"/>
    <row r="97" ht="12.1" customHeight="true" customFormat="true" s="5">
      <c r="A97" s="8" t="s">
        <v>116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ht="155.85" customHeight="true" customFormat="true" s="9">
      <c r="A98" s="10">
        <v>46270</v>
      </c>
      <c r="B98" s="11" t="s">
        <v>52</v>
      </c>
      <c r="C98" s="11"/>
      <c r="D98" s="11" t="s">
        <v>105</v>
      </c>
      <c r="E98" s="17" t="s">
        <v>117</v>
      </c>
      <c r="F98" s="12">
        <v>4.0000</v>
      </c>
      <c r="G98" s="12">
        <v>300.0000</v>
      </c>
      <c r="H98" s="13">
        <v>0</v>
      </c>
      <c r="I98" s="13">
        <v>120.0000</v>
      </c>
      <c r="J98" s="13">
        <v>1320.0000</v>
      </c>
      <c r="K98" s="13">
        <v>1320.0000</v>
      </c>
      <c r="L98" s="13">
        <v>1200.0000</v>
      </c>
      <c r="M98" s="11" t="s">
        <v>118</v>
      </c>
      <c r="N98" s="10">
        <v>46281</v>
      </c>
      <c r="O98" s="10">
        <v>46281</v>
      </c>
      <c r="P98" s="10">
        <v>46304</v>
      </c>
      <c r="Q98" s="11" t="s">
        <v>27</v>
      </c>
      <c r="R98" s="11" t="s">
        <v>28</v>
      </c>
    </row>
    <row r="99" ht="10.95" customHeight="true" customFormat="true" s="9">
      <c r="A99" s="14" t="s">
        <v>119</v>
      </c>
      <c r="B99" s="14"/>
      <c r="C99" s="14"/>
      <c r="D99" s="14"/>
      <c r="E99" s="14"/>
      <c r="F99" s="15">
        <f ca="1">F98</f>
        <v>0</v>
      </c>
      <c r="G99" s="14"/>
      <c r="H99" s="16">
        <f ca="1">H98</f>
        <v>0</v>
      </c>
      <c r="I99" s="16">
        <f ca="1">I98</f>
        <v>0</v>
      </c>
      <c r="J99" s="16">
        <f ca="1">J98</f>
        <v>0</v>
      </c>
      <c r="K99" s="14"/>
      <c r="L99" s="16">
        <f ca="1">L98</f>
        <v>0</v>
      </c>
      <c r="M99" s="14"/>
      <c r="N99" s="14"/>
      <c r="O99" s="14"/>
      <c r="P99" s="14"/>
      <c r="Q99" s="14"/>
      <c r="R99" s="14"/>
    </row>
    <row r="100" ht="13.35" customHeight="true"/>
    <row r="101" ht="12.1" customHeight="true" customFormat="true" s="5">
      <c r="A101" s="8" t="s">
        <v>120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ht="21.3" customHeight="true" customFormat="true" s="9">
      <c r="A102" s="10">
        <v>46251</v>
      </c>
      <c r="B102" s="11" t="s">
        <v>52</v>
      </c>
      <c r="C102" s="11" t="s">
        <v>93</v>
      </c>
      <c r="D102" s="11" t="s">
        <v>36</v>
      </c>
      <c r="E102" s="17" t="s">
        <v>74</v>
      </c>
      <c r="F102" s="12">
        <v>1.0000</v>
      </c>
      <c r="G102" s="12">
        <v>500.0000</v>
      </c>
      <c r="H102" s="13">
        <v>0</v>
      </c>
      <c r="I102" s="13">
        <v>50.0000</v>
      </c>
      <c r="J102" s="13">
        <v>550.0000</v>
      </c>
      <c r="K102" s="13">
        <v>550.0000</v>
      </c>
      <c r="L102" s="13">
        <v>500.0000</v>
      </c>
      <c r="M102" s="11" t="s">
        <v>38</v>
      </c>
      <c r="N102" s="10">
        <v>46260</v>
      </c>
      <c r="O102" s="10">
        <v>46260</v>
      </c>
      <c r="P102" s="10">
        <v>46305</v>
      </c>
      <c r="Q102" s="11" t="s">
        <v>27</v>
      </c>
      <c r="R102" s="11" t="s">
        <v>28</v>
      </c>
    </row>
    <row r="103" ht="10.95" customHeight="true" customFormat="true" s="9">
      <c r="A103" s="14" t="s">
        <v>121</v>
      </c>
      <c r="B103" s="14"/>
      <c r="C103" s="14"/>
      <c r="D103" s="14"/>
      <c r="E103" s="14"/>
      <c r="F103" s="15">
        <f ca="1">F102</f>
        <v>0</v>
      </c>
      <c r="G103" s="14"/>
      <c r="H103" s="16">
        <f ca="1">H102</f>
        <v>0</v>
      </c>
      <c r="I103" s="16">
        <f ca="1">I102</f>
        <v>0</v>
      </c>
      <c r="J103" s="16">
        <f ca="1">J102</f>
        <v>0</v>
      </c>
      <c r="K103" s="14"/>
      <c r="L103" s="16">
        <f ca="1">L102</f>
        <v>0</v>
      </c>
      <c r="M103" s="14"/>
      <c r="N103" s="14"/>
      <c r="O103" s="14"/>
      <c r="P103" s="14"/>
      <c r="Q103" s="14"/>
      <c r="R103" s="14"/>
    </row>
    <row r="104" ht="13.35" customHeight="true"/>
    <row r="105" ht="12.1" customHeight="true" customFormat="true" s="5">
      <c r="A105" s="8" t="s">
        <v>122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ht="21.3" customHeight="true" customFormat="true" s="9">
      <c r="A106" s="10">
        <v>46251</v>
      </c>
      <c r="B106" s="11" t="s">
        <v>52</v>
      </c>
      <c r="C106" s="11" t="s">
        <v>93</v>
      </c>
      <c r="D106" s="11" t="s">
        <v>36</v>
      </c>
      <c r="E106" s="17" t="s">
        <v>74</v>
      </c>
      <c r="F106" s="12">
        <v>1.0000</v>
      </c>
      <c r="G106" s="12">
        <v>500.0000</v>
      </c>
      <c r="H106" s="13">
        <v>0</v>
      </c>
      <c r="I106" s="13">
        <v>50.0000</v>
      </c>
      <c r="J106" s="13">
        <v>550.0000</v>
      </c>
      <c r="K106" s="13">
        <v>550.0000</v>
      </c>
      <c r="L106" s="13">
        <v>500.0000</v>
      </c>
      <c r="M106" s="11" t="s">
        <v>96</v>
      </c>
      <c r="N106" s="10">
        <v>46260</v>
      </c>
      <c r="O106" s="10">
        <v>46260</v>
      </c>
      <c r="P106" s="10">
        <v>46305</v>
      </c>
      <c r="Q106" s="11" t="s">
        <v>27</v>
      </c>
      <c r="R106" s="11" t="s">
        <v>28</v>
      </c>
    </row>
    <row r="107" ht="10.95" customHeight="true" customFormat="true" s="9">
      <c r="A107" s="14" t="s">
        <v>123</v>
      </c>
      <c r="B107" s="14"/>
      <c r="C107" s="14"/>
      <c r="D107" s="14"/>
      <c r="E107" s="14"/>
      <c r="F107" s="15">
        <f ca="1">F106</f>
        <v>0</v>
      </c>
      <c r="G107" s="14"/>
      <c r="H107" s="16">
        <f ca="1">H106</f>
        <v>0</v>
      </c>
      <c r="I107" s="16">
        <f ca="1">I106</f>
        <v>0</v>
      </c>
      <c r="J107" s="16">
        <f ca="1">J106</f>
        <v>0</v>
      </c>
      <c r="K107" s="14"/>
      <c r="L107" s="16">
        <f ca="1">L106</f>
        <v>0</v>
      </c>
      <c r="M107" s="14"/>
      <c r="N107" s="14"/>
      <c r="O107" s="14"/>
      <c r="P107" s="14"/>
      <c r="Q107" s="14"/>
      <c r="R107" s="14"/>
    </row>
    <row r="108" ht="13.35" customHeight="true"/>
    <row r="109" ht="12.1" customHeight="true" customFormat="true" s="5">
      <c r="A109" s="8" t="s">
        <v>124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ht="21.3" customHeight="true" customFormat="true" s="9">
      <c r="A110" s="10">
        <v>46251</v>
      </c>
      <c r="B110" s="11" t="s">
        <v>52</v>
      </c>
      <c r="C110" s="11" t="s">
        <v>93</v>
      </c>
      <c r="D110" s="11" t="s">
        <v>36</v>
      </c>
      <c r="E110" s="17" t="s">
        <v>74</v>
      </c>
      <c r="F110" s="12">
        <v>1.0000</v>
      </c>
      <c r="G110" s="12">
        <v>500.0000</v>
      </c>
      <c r="H110" s="13">
        <v>0</v>
      </c>
      <c r="I110" s="13">
        <v>50.0000</v>
      </c>
      <c r="J110" s="13">
        <v>550.0000</v>
      </c>
      <c r="K110" s="13">
        <v>550.0000</v>
      </c>
      <c r="L110" s="13">
        <v>500.0000</v>
      </c>
      <c r="M110" s="11" t="s">
        <v>99</v>
      </c>
      <c r="N110" s="10">
        <v>46260</v>
      </c>
      <c r="O110" s="10">
        <v>46260</v>
      </c>
      <c r="P110" s="10">
        <v>46305</v>
      </c>
      <c r="Q110" s="11" t="s">
        <v>27</v>
      </c>
      <c r="R110" s="11" t="s">
        <v>28</v>
      </c>
    </row>
    <row r="111" ht="10.95" customHeight="true" customFormat="true" s="9">
      <c r="A111" s="14" t="s">
        <v>125</v>
      </c>
      <c r="B111" s="14"/>
      <c r="C111" s="14"/>
      <c r="D111" s="14"/>
      <c r="E111" s="14"/>
      <c r="F111" s="15">
        <f ca="1">F110</f>
        <v>0</v>
      </c>
      <c r="G111" s="14"/>
      <c r="H111" s="16">
        <f ca="1">H110</f>
        <v>0</v>
      </c>
      <c r="I111" s="16">
        <f ca="1">I110</f>
        <v>0</v>
      </c>
      <c r="J111" s="16">
        <f ca="1">J110</f>
        <v>0</v>
      </c>
      <c r="K111" s="14"/>
      <c r="L111" s="16">
        <f ca="1">L110</f>
        <v>0</v>
      </c>
      <c r="M111" s="14"/>
      <c r="N111" s="14"/>
      <c r="O111" s="14"/>
      <c r="P111" s="14"/>
      <c r="Q111" s="14"/>
      <c r="R111" s="14"/>
    </row>
    <row r="112" ht="13.35" customHeight="true"/>
    <row r="113" ht="12.1" customHeight="true" customFormat="true" s="5">
      <c r="A113" s="8" t="s">
        <v>126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ht="21.3" customHeight="true" customFormat="true" s="9">
      <c r="A114" s="10">
        <v>46251</v>
      </c>
      <c r="B114" s="11" t="s">
        <v>52</v>
      </c>
      <c r="C114" s="11" t="s">
        <v>93</v>
      </c>
      <c r="D114" s="11" t="s">
        <v>36</v>
      </c>
      <c r="E114" s="17" t="s">
        <v>74</v>
      </c>
      <c r="F114" s="12">
        <v>1.0000</v>
      </c>
      <c r="G114" s="12">
        <v>500.0000</v>
      </c>
      <c r="H114" s="13">
        <v>0</v>
      </c>
      <c r="I114" s="13">
        <v>50.0000</v>
      </c>
      <c r="J114" s="13">
        <v>550.0000</v>
      </c>
      <c r="K114" s="13">
        <v>550.0000</v>
      </c>
      <c r="L114" s="13">
        <v>500.0000</v>
      </c>
      <c r="M114" s="11" t="s">
        <v>102</v>
      </c>
      <c r="N114" s="10">
        <v>46260</v>
      </c>
      <c r="O114" s="10">
        <v>46260</v>
      </c>
      <c r="P114" s="10">
        <v>46305</v>
      </c>
      <c r="Q114" s="11" t="s">
        <v>27</v>
      </c>
      <c r="R114" s="11" t="s">
        <v>28</v>
      </c>
    </row>
    <row r="115" ht="10.95" customHeight="true" customFormat="true" s="9">
      <c r="A115" s="14" t="s">
        <v>127</v>
      </c>
      <c r="B115" s="14"/>
      <c r="C115" s="14"/>
      <c r="D115" s="14"/>
      <c r="E115" s="14"/>
      <c r="F115" s="15">
        <f ca="1">F114</f>
        <v>0</v>
      </c>
      <c r="G115" s="14"/>
      <c r="H115" s="16">
        <f ca="1">H114</f>
        <v>0</v>
      </c>
      <c r="I115" s="16">
        <f ca="1">I114</f>
        <v>0</v>
      </c>
      <c r="J115" s="16">
        <f ca="1">J114</f>
        <v>0</v>
      </c>
      <c r="K115" s="14"/>
      <c r="L115" s="16">
        <f ca="1">L114</f>
        <v>0</v>
      </c>
      <c r="M115" s="14"/>
      <c r="N115" s="14"/>
      <c r="O115" s="14"/>
      <c r="P115" s="14"/>
      <c r="Q115" s="14"/>
      <c r="R115" s="14"/>
    </row>
    <row r="116" ht="13.35" customHeight="true"/>
    <row r="117" ht="12.1" customHeight="true" customFormat="true" s="5">
      <c r="A117" s="8" t="s">
        <v>128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ht="21.3" customHeight="true" customFormat="true" s="9">
      <c r="A118" s="10">
        <v>46282</v>
      </c>
      <c r="B118" s="11" t="s">
        <v>52</v>
      </c>
      <c r="C118" s="11" t="s">
        <v>93</v>
      </c>
      <c r="D118" s="11" t="s">
        <v>36</v>
      </c>
      <c r="E118" s="17" t="s">
        <v>74</v>
      </c>
      <c r="F118" s="12">
        <v>1.0000</v>
      </c>
      <c r="G118" s="12">
        <v>500.0000</v>
      </c>
      <c r="H118" s="13">
        <v>0</v>
      </c>
      <c r="I118" s="13">
        <v>50.0000</v>
      </c>
      <c r="J118" s="13">
        <v>550.0000</v>
      </c>
      <c r="K118" s="13">
        <v>550.0000</v>
      </c>
      <c r="L118" s="13">
        <v>500.0000</v>
      </c>
      <c r="M118" s="11" t="s">
        <v>38</v>
      </c>
      <c r="N118" s="10">
        <v>46295</v>
      </c>
      <c r="O118" s="10">
        <v>46309</v>
      </c>
      <c r="P118" s="10">
        <v>46306</v>
      </c>
      <c r="Q118" s="11" t="s">
        <v>27</v>
      </c>
      <c r="R118" s="11" t="s">
        <v>28</v>
      </c>
    </row>
    <row r="119" ht="10.95" customHeight="true" customFormat="true" s="9">
      <c r="A119" s="14" t="s">
        <v>129</v>
      </c>
      <c r="B119" s="14"/>
      <c r="C119" s="14"/>
      <c r="D119" s="14"/>
      <c r="E119" s="14"/>
      <c r="F119" s="15">
        <f ca="1">F118</f>
        <v>0</v>
      </c>
      <c r="G119" s="14"/>
      <c r="H119" s="16">
        <f ca="1">H118</f>
        <v>0</v>
      </c>
      <c r="I119" s="16">
        <f ca="1">I118</f>
        <v>0</v>
      </c>
      <c r="J119" s="16">
        <f ca="1">J118</f>
        <v>0</v>
      </c>
      <c r="K119" s="14"/>
      <c r="L119" s="16">
        <f ca="1">L118</f>
        <v>0</v>
      </c>
      <c r="M119" s="14"/>
      <c r="N119" s="14"/>
      <c r="O119" s="14"/>
      <c r="P119" s="14"/>
      <c r="Q119" s="14"/>
      <c r="R119" s="14"/>
    </row>
    <row r="120" ht="13.35" customHeight="true"/>
    <row r="121" ht="12.1" customHeight="true" customFormat="true" s="5">
      <c r="A121" s="8" t="s">
        <v>130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ht="21.3" customHeight="true" customFormat="true" s="9">
      <c r="A122" s="10">
        <v>46282</v>
      </c>
      <c r="B122" s="11" t="s">
        <v>52</v>
      </c>
      <c r="C122" s="11" t="s">
        <v>93</v>
      </c>
      <c r="D122" s="11" t="s">
        <v>36</v>
      </c>
      <c r="E122" s="17" t="s">
        <v>74</v>
      </c>
      <c r="F122" s="12">
        <v>1.0000</v>
      </c>
      <c r="G122" s="12">
        <v>500.0000</v>
      </c>
      <c r="H122" s="13">
        <v>0</v>
      </c>
      <c r="I122" s="13">
        <v>50.0000</v>
      </c>
      <c r="J122" s="13">
        <v>550.0000</v>
      </c>
      <c r="K122" s="13">
        <v>550.0000</v>
      </c>
      <c r="L122" s="13">
        <v>500.0000</v>
      </c>
      <c r="M122" s="11" t="s">
        <v>96</v>
      </c>
      <c r="N122" s="10">
        <v>46295</v>
      </c>
      <c r="O122" s="10">
        <v>46301</v>
      </c>
      <c r="P122" s="10">
        <v>46306</v>
      </c>
      <c r="Q122" s="11" t="s">
        <v>27</v>
      </c>
      <c r="R122" s="11" t="s">
        <v>28</v>
      </c>
    </row>
    <row r="123" ht="10.95" customHeight="true" customFormat="true" s="9">
      <c r="A123" s="14" t="s">
        <v>131</v>
      </c>
      <c r="B123" s="14"/>
      <c r="C123" s="14"/>
      <c r="D123" s="14"/>
      <c r="E123" s="14"/>
      <c r="F123" s="15">
        <f ca="1">F122</f>
        <v>0</v>
      </c>
      <c r="G123" s="14"/>
      <c r="H123" s="16">
        <f ca="1">H122</f>
        <v>0</v>
      </c>
      <c r="I123" s="16">
        <f ca="1">I122</f>
        <v>0</v>
      </c>
      <c r="J123" s="16">
        <f ca="1">J122</f>
        <v>0</v>
      </c>
      <c r="K123" s="14"/>
      <c r="L123" s="16">
        <f ca="1">L122</f>
        <v>0</v>
      </c>
      <c r="M123" s="14"/>
      <c r="N123" s="14"/>
      <c r="O123" s="14"/>
      <c r="P123" s="14"/>
      <c r="Q123" s="14"/>
      <c r="R123" s="14"/>
    </row>
    <row r="124" ht="13.35" customHeight="true"/>
    <row r="125" ht="12.1" customHeight="true" customFormat="true" s="5">
      <c r="A125" s="8" t="s">
        <v>132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ht="21.3" customHeight="true" customFormat="true" s="9">
      <c r="A126" s="10">
        <v>46282</v>
      </c>
      <c r="B126" s="11" t="s">
        <v>52</v>
      </c>
      <c r="C126" s="11" t="s">
        <v>93</v>
      </c>
      <c r="D126" s="11" t="s">
        <v>36</v>
      </c>
      <c r="E126" s="17" t="s">
        <v>74</v>
      </c>
      <c r="F126" s="12">
        <v>1.0000</v>
      </c>
      <c r="G126" s="12">
        <v>500.0000</v>
      </c>
      <c r="H126" s="13">
        <v>0</v>
      </c>
      <c r="I126" s="13">
        <v>50.0000</v>
      </c>
      <c r="J126" s="13">
        <v>550.0000</v>
      </c>
      <c r="K126" s="13">
        <v>550.0000</v>
      </c>
      <c r="L126" s="13">
        <v>500.0000</v>
      </c>
      <c r="M126" s="11" t="s">
        <v>99</v>
      </c>
      <c r="N126" s="10">
        <v>46295</v>
      </c>
      <c r="O126" s="10">
        <v>46308</v>
      </c>
      <c r="P126" s="10">
        <v>46306</v>
      </c>
      <c r="Q126" s="11" t="s">
        <v>27</v>
      </c>
      <c r="R126" s="11" t="s">
        <v>28</v>
      </c>
    </row>
    <row r="127" ht="10.95" customHeight="true" customFormat="true" s="9">
      <c r="A127" s="14" t="s">
        <v>133</v>
      </c>
      <c r="B127" s="14"/>
      <c r="C127" s="14"/>
      <c r="D127" s="14"/>
      <c r="E127" s="14"/>
      <c r="F127" s="15">
        <f ca="1">F126</f>
        <v>0</v>
      </c>
      <c r="G127" s="14"/>
      <c r="H127" s="16">
        <f ca="1">H126</f>
        <v>0</v>
      </c>
      <c r="I127" s="16">
        <f ca="1">I126</f>
        <v>0</v>
      </c>
      <c r="J127" s="16">
        <f ca="1">J126</f>
        <v>0</v>
      </c>
      <c r="K127" s="14"/>
      <c r="L127" s="16">
        <f ca="1">L126</f>
        <v>0</v>
      </c>
      <c r="M127" s="14"/>
      <c r="N127" s="14"/>
      <c r="O127" s="14"/>
      <c r="P127" s="14"/>
      <c r="Q127" s="14"/>
      <c r="R127" s="14"/>
    </row>
    <row r="128" ht="13.35" customHeight="true"/>
    <row r="129" ht="12.1" customHeight="true" customFormat="true" s="5">
      <c r="A129" s="8" t="s">
        <v>134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ht="21.3" customHeight="true" customFormat="true" s="9">
      <c r="A130" s="10">
        <v>46282</v>
      </c>
      <c r="B130" s="11" t="s">
        <v>52</v>
      </c>
      <c r="C130" s="11" t="s">
        <v>93</v>
      </c>
      <c r="D130" s="11" t="s">
        <v>36</v>
      </c>
      <c r="E130" s="17" t="s">
        <v>74</v>
      </c>
      <c r="F130" s="12">
        <v>1.0000</v>
      </c>
      <c r="G130" s="12">
        <v>500.0000</v>
      </c>
      <c r="H130" s="13">
        <v>0</v>
      </c>
      <c r="I130" s="13">
        <v>50.0000</v>
      </c>
      <c r="J130" s="13">
        <v>550.0000</v>
      </c>
      <c r="K130" s="13">
        <v>550.0000</v>
      </c>
      <c r="L130" s="13">
        <v>500.0000</v>
      </c>
      <c r="M130" s="11" t="s">
        <v>102</v>
      </c>
      <c r="N130" s="10">
        <v>46295</v>
      </c>
      <c r="O130" s="10">
        <v>46301</v>
      </c>
      <c r="P130" s="10">
        <v>46306</v>
      </c>
      <c r="Q130" s="11" t="s">
        <v>27</v>
      </c>
      <c r="R130" s="11" t="s">
        <v>28</v>
      </c>
    </row>
    <row r="131" ht="10.95" customHeight="true" customFormat="true" s="9">
      <c r="A131" s="14" t="s">
        <v>135</v>
      </c>
      <c r="B131" s="14"/>
      <c r="C131" s="14"/>
      <c r="D131" s="14"/>
      <c r="E131" s="14"/>
      <c r="F131" s="15">
        <f ca="1">F130</f>
        <v>0</v>
      </c>
      <c r="G131" s="14"/>
      <c r="H131" s="16">
        <f ca="1">H130</f>
        <v>0</v>
      </c>
      <c r="I131" s="16">
        <f ca="1">I130</f>
        <v>0</v>
      </c>
      <c r="J131" s="16">
        <f ca="1">J130</f>
        <v>0</v>
      </c>
      <c r="K131" s="14"/>
      <c r="L131" s="16">
        <f ca="1">L130</f>
        <v>0</v>
      </c>
      <c r="M131" s="14"/>
      <c r="N131" s="14"/>
      <c r="O131" s="14"/>
      <c r="P131" s="14"/>
      <c r="Q131" s="14"/>
      <c r="R131" s="14"/>
    </row>
    <row r="132" ht="13.35" customHeight="true"/>
    <row r="133" ht="12.1" customHeight="true" customFormat="true" s="5">
      <c r="A133" s="8" t="s">
        <v>136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ht="10.95" customHeight="true" customFormat="true" s="9">
      <c r="A134" s="10">
        <v>46281</v>
      </c>
      <c r="B134" s="11" t="s">
        <v>52</v>
      </c>
      <c r="C134" s="11"/>
      <c r="D134" s="11" t="s">
        <v>41</v>
      </c>
      <c r="E134" s="11" t="s">
        <v>80</v>
      </c>
      <c r="F134" s="12">
        <v>1.0000</v>
      </c>
      <c r="G134" s="12">
        <v>500.0000</v>
      </c>
      <c r="H134" s="13">
        <v>0</v>
      </c>
      <c r="I134" s="13">
        <v>50.0000</v>
      </c>
      <c r="J134" s="13">
        <v>550.0000</v>
      </c>
      <c r="K134" s="13">
        <v>550.0000</v>
      </c>
      <c r="L134" s="13">
        <v>500.0000</v>
      </c>
      <c r="M134" s="11" t="s">
        <v>137</v>
      </c>
      <c r="N134" s="10">
        <v>46260</v>
      </c>
      <c r="O134" s="10">
        <v>46291</v>
      </c>
      <c r="P134" s="10">
        <v>46307</v>
      </c>
      <c r="Q134" s="11" t="s">
        <v>27</v>
      </c>
      <c r="R134" s="11" t="s">
        <v>28</v>
      </c>
    </row>
    <row r="135" ht="10.95" customHeight="true" customFormat="true" s="9">
      <c r="A135" s="14" t="s">
        <v>138</v>
      </c>
      <c r="B135" s="14"/>
      <c r="C135" s="14"/>
      <c r="D135" s="14"/>
      <c r="E135" s="14"/>
      <c r="F135" s="15">
        <f ca="1">F134</f>
        <v>0</v>
      </c>
      <c r="G135" s="14"/>
      <c r="H135" s="16">
        <f ca="1">H134</f>
        <v>0</v>
      </c>
      <c r="I135" s="16">
        <f ca="1">I134</f>
        <v>0</v>
      </c>
      <c r="J135" s="16">
        <f ca="1">J134</f>
        <v>0</v>
      </c>
      <c r="K135" s="14"/>
      <c r="L135" s="16">
        <f ca="1">L134</f>
        <v>0</v>
      </c>
      <c r="M135" s="14"/>
      <c r="N135" s="14"/>
      <c r="O135" s="14"/>
      <c r="P135" s="14"/>
      <c r="Q135" s="14"/>
      <c r="R135" s="14"/>
    </row>
    <row r="136" ht="13.35" customHeight="true"/>
    <row r="137" ht="12.1" customHeight="true" customFormat="true" s="5">
      <c r="A137" s="8" t="s">
        <v>139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ht="10.95" customHeight="true" customFormat="true" s="9">
      <c r="A138" s="10">
        <v>46301</v>
      </c>
      <c r="B138" s="11" t="s">
        <v>52</v>
      </c>
      <c r="C138" s="11"/>
      <c r="D138" s="11" t="s">
        <v>41</v>
      </c>
      <c r="E138" s="11" t="s">
        <v>140</v>
      </c>
      <c r="F138" s="12">
        <v>1.0000</v>
      </c>
      <c r="G138" s="12">
        <v>500.0000</v>
      </c>
      <c r="H138" s="13">
        <v>0</v>
      </c>
      <c r="I138" s="13">
        <v>50.0000</v>
      </c>
      <c r="J138" s="13">
        <v>550.0000</v>
      </c>
      <c r="K138" s="13">
        <v>1100.0000</v>
      </c>
      <c r="L138" s="13">
        <v>500.0000</v>
      </c>
      <c r="M138" s="11" t="s">
        <v>141</v>
      </c>
      <c r="N138" s="10">
        <v>46311</v>
      </c>
      <c r="O138" s="11"/>
      <c r="P138" s="10">
        <v>46312</v>
      </c>
      <c r="Q138" s="11" t="s">
        <v>142</v>
      </c>
      <c r="R138" s="11" t="s">
        <v>28</v>
      </c>
    </row>
    <row r="139" ht="10.95" customHeight="true" customFormat="true" s="9">
      <c r="A139" s="18">
        <v>46301</v>
      </c>
      <c r="B139" s="19" t="s">
        <v>52</v>
      </c>
      <c r="C139" s="19"/>
      <c r="D139" s="19" t="s">
        <v>41</v>
      </c>
      <c r="E139" s="19" t="s">
        <v>143</v>
      </c>
      <c r="F139" s="20">
        <v>1.0000</v>
      </c>
      <c r="G139" s="20">
        <v>500.0000</v>
      </c>
      <c r="H139" s="21">
        <v>0</v>
      </c>
      <c r="I139" s="21">
        <v>50.0000</v>
      </c>
      <c r="J139" s="21">
        <v>550.0000</v>
      </c>
      <c r="K139" s="21">
        <v>1100.0000</v>
      </c>
      <c r="L139" s="21">
        <v>500.0000</v>
      </c>
      <c r="M139" s="19" t="s">
        <v>141</v>
      </c>
      <c r="N139" s="18">
        <v>46311</v>
      </c>
      <c r="O139" s="19"/>
      <c r="P139" s="18">
        <v>46312</v>
      </c>
      <c r="Q139" s="19" t="s">
        <v>142</v>
      </c>
      <c r="R139" s="19" t="s">
        <v>28</v>
      </c>
    </row>
    <row r="140" ht="10.95" customHeight="true" customFormat="true" s="9">
      <c r="A140" s="14" t="s">
        <v>144</v>
      </c>
      <c r="B140" s="14"/>
      <c r="C140" s="14"/>
      <c r="D140" s="14"/>
      <c r="E140" s="14"/>
      <c r="F140" s="15">
        <f ca="1">SUM(F138:F139)</f>
        <v>0</v>
      </c>
      <c r="G140" s="14"/>
      <c r="H140" s="16">
        <f ca="1">SUM(H138:H139)</f>
        <v>0</v>
      </c>
      <c r="I140" s="16">
        <f ca="1">SUM(I138:I139)</f>
        <v>0</v>
      </c>
      <c r="J140" s="16">
        <f ca="1">SUM(J138:J139)</f>
        <v>0</v>
      </c>
      <c r="K140" s="14"/>
      <c r="L140" s="16">
        <f ca="1">SUM(L138:L139)</f>
        <v>0</v>
      </c>
      <c r="M140" s="14"/>
      <c r="N140" s="14"/>
      <c r="O140" s="14"/>
      <c r="P140" s="14"/>
      <c r="Q140" s="14"/>
      <c r="R140" s="14"/>
    </row>
    <row r="141" ht="13.35" customHeight="true"/>
    <row r="142" ht="12.1" customHeight="true" customFormat="true" s="5">
      <c r="A142" s="8" t="s">
        <v>145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ht="10.95" customHeight="true" customFormat="true" s="9">
      <c r="A143" s="10">
        <v>46282</v>
      </c>
      <c r="B143" s="11" t="s">
        <v>52</v>
      </c>
      <c r="C143" s="11" t="s">
        <v>23</v>
      </c>
      <c r="D143" s="11" t="s">
        <v>24</v>
      </c>
      <c r="E143" s="11" t="s">
        <v>110</v>
      </c>
      <c r="F143" s="12">
        <v>10.0000</v>
      </c>
      <c r="G143" s="12">
        <v>650.0000</v>
      </c>
      <c r="H143" s="13">
        <v>0</v>
      </c>
      <c r="I143" s="13">
        <v>650.0000</v>
      </c>
      <c r="J143" s="13">
        <v>7150.0000</v>
      </c>
      <c r="K143" s="13">
        <v>7150.0000</v>
      </c>
      <c r="L143" s="13">
        <v>6500.0000</v>
      </c>
      <c r="M143" s="11" t="s">
        <v>26</v>
      </c>
      <c r="N143" s="10">
        <v>46301</v>
      </c>
      <c r="O143" s="10">
        <v>46351</v>
      </c>
      <c r="P143" s="10">
        <v>46312</v>
      </c>
      <c r="Q143" s="11" t="s">
        <v>27</v>
      </c>
      <c r="R143" s="11" t="s">
        <v>28</v>
      </c>
    </row>
    <row r="144" ht="10.95" customHeight="true" customFormat="true" s="9">
      <c r="A144" s="14" t="s">
        <v>146</v>
      </c>
      <c r="B144" s="14"/>
      <c r="C144" s="14"/>
      <c r="D144" s="14"/>
      <c r="E144" s="14"/>
      <c r="F144" s="15">
        <f ca="1">F143</f>
        <v>0</v>
      </c>
      <c r="G144" s="14"/>
      <c r="H144" s="16">
        <f ca="1">H143</f>
        <v>0</v>
      </c>
      <c r="I144" s="16">
        <f ca="1">I143</f>
        <v>0</v>
      </c>
      <c r="J144" s="16">
        <f ca="1">J143</f>
        <v>0</v>
      </c>
      <c r="K144" s="14"/>
      <c r="L144" s="16">
        <f ca="1">L143</f>
        <v>0</v>
      </c>
      <c r="M144" s="14"/>
      <c r="N144" s="14"/>
      <c r="O144" s="14"/>
      <c r="P144" s="14"/>
      <c r="Q144" s="14"/>
      <c r="R144" s="14"/>
    </row>
    <row r="145" ht="13.35" customHeight="true"/>
    <row r="146" ht="12.1" customHeight="true" customFormat="true" s="5">
      <c r="A146" s="8" t="s">
        <v>147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ht="10.95" customHeight="true" customFormat="true" s="9">
      <c r="A147" s="10">
        <v>46311</v>
      </c>
      <c r="B147" s="11" t="s">
        <v>52</v>
      </c>
      <c r="C147" s="11" t="s">
        <v>23</v>
      </c>
      <c r="D147" s="11"/>
      <c r="E147" s="11" t="s">
        <v>148</v>
      </c>
      <c r="F147" s="12">
        <v>5.0000</v>
      </c>
      <c r="G147" s="12">
        <v>150.0000</v>
      </c>
      <c r="H147" s="13">
        <v>0</v>
      </c>
      <c r="I147" s="13">
        <v>75.0000</v>
      </c>
      <c r="J147" s="13">
        <v>825.0000</v>
      </c>
      <c r="K147" s="13">
        <v>825.0000</v>
      </c>
      <c r="L147" s="13">
        <v>750.0000</v>
      </c>
      <c r="M147" s="11" t="s">
        <v>26</v>
      </c>
      <c r="N147" s="10">
        <v>46331</v>
      </c>
      <c r="O147" s="11"/>
      <c r="P147" s="10">
        <v>46312</v>
      </c>
      <c r="Q147" s="11" t="s">
        <v>149</v>
      </c>
      <c r="R147" s="11" t="s">
        <v>28</v>
      </c>
    </row>
    <row r="148" ht="10.95" customHeight="true" customFormat="true" s="9">
      <c r="A148" s="14" t="s">
        <v>150</v>
      </c>
      <c r="B148" s="14"/>
      <c r="C148" s="14"/>
      <c r="D148" s="14"/>
      <c r="E148" s="14"/>
      <c r="F148" s="15">
        <f ca="1">F147</f>
        <v>0</v>
      </c>
      <c r="G148" s="14"/>
      <c r="H148" s="16">
        <f ca="1">H147</f>
        <v>0</v>
      </c>
      <c r="I148" s="16">
        <f ca="1">I147</f>
        <v>0</v>
      </c>
      <c r="J148" s="16">
        <f ca="1">J147</f>
        <v>0</v>
      </c>
      <c r="K148" s="14"/>
      <c r="L148" s="16">
        <f ca="1">L147</f>
        <v>0</v>
      </c>
      <c r="M148" s="14"/>
      <c r="N148" s="14"/>
      <c r="O148" s="14"/>
      <c r="P148" s="14"/>
      <c r="Q148" s="14"/>
      <c r="R148" s="14"/>
    </row>
    <row r="149" ht="13.35" customHeight="true"/>
    <row r="150" ht="12.1" customHeight="true" customFormat="true" s="5">
      <c r="A150" s="8" t="s">
        <v>151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ht="21.3" customHeight="true" customFormat="true" s="9">
      <c r="A151" s="10">
        <v>46311</v>
      </c>
      <c r="B151" s="11" t="s">
        <v>52</v>
      </c>
      <c r="C151" s="11" t="s">
        <v>93</v>
      </c>
      <c r="D151" s="11" t="s">
        <v>36</v>
      </c>
      <c r="E151" s="17" t="s">
        <v>74</v>
      </c>
      <c r="F151" s="12">
        <v>1.0000</v>
      </c>
      <c r="G151" s="12">
        <v>500.0000</v>
      </c>
      <c r="H151" s="13">
        <v>0</v>
      </c>
      <c r="I151" s="13">
        <v>50.0000</v>
      </c>
      <c r="J151" s="13">
        <v>550.0000</v>
      </c>
      <c r="K151" s="13">
        <v>550.0000</v>
      </c>
      <c r="L151" s="13">
        <v>500.0000</v>
      </c>
      <c r="M151" s="11" t="s">
        <v>38</v>
      </c>
      <c r="N151" s="10">
        <v>46326</v>
      </c>
      <c r="O151" s="11"/>
      <c r="P151" s="10">
        <v>46312</v>
      </c>
      <c r="Q151" s="11" t="s">
        <v>152</v>
      </c>
      <c r="R151" s="11" t="s">
        <v>28</v>
      </c>
    </row>
    <row r="152" ht="10.95" customHeight="true" customFormat="true" s="9">
      <c r="A152" s="14" t="s">
        <v>153</v>
      </c>
      <c r="B152" s="14"/>
      <c r="C152" s="14"/>
      <c r="D152" s="14"/>
      <c r="E152" s="14"/>
      <c r="F152" s="15">
        <f ca="1">F151</f>
        <v>0</v>
      </c>
      <c r="G152" s="14"/>
      <c r="H152" s="16">
        <f ca="1">H151</f>
        <v>0</v>
      </c>
      <c r="I152" s="16">
        <f ca="1">I151</f>
        <v>0</v>
      </c>
      <c r="J152" s="16">
        <f ca="1">J151</f>
        <v>0</v>
      </c>
      <c r="K152" s="14"/>
      <c r="L152" s="16">
        <f ca="1">L151</f>
        <v>0</v>
      </c>
      <c r="M152" s="14"/>
      <c r="N152" s="14"/>
      <c r="O152" s="14"/>
      <c r="P152" s="14"/>
      <c r="Q152" s="14"/>
      <c r="R152" s="14"/>
    </row>
    <row r="153" ht="13.35" customHeight="true"/>
    <row r="154" ht="12.1" customHeight="true" customFormat="true" s="5">
      <c r="A154" s="8" t="s">
        <v>154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ht="21.3" customHeight="true" customFormat="true" s="9">
      <c r="A155" s="10">
        <v>46311</v>
      </c>
      <c r="B155" s="11" t="s">
        <v>52</v>
      </c>
      <c r="C155" s="11" t="s">
        <v>93</v>
      </c>
      <c r="D155" s="11" t="s">
        <v>36</v>
      </c>
      <c r="E155" s="17" t="s">
        <v>74</v>
      </c>
      <c r="F155" s="12">
        <v>1.0000</v>
      </c>
      <c r="G155" s="12">
        <v>500.0000</v>
      </c>
      <c r="H155" s="13">
        <v>0</v>
      </c>
      <c r="I155" s="13">
        <v>50.0000</v>
      </c>
      <c r="J155" s="13">
        <v>550.0000</v>
      </c>
      <c r="K155" s="13">
        <v>550.0000</v>
      </c>
      <c r="L155" s="13">
        <v>500.0000</v>
      </c>
      <c r="M155" s="11" t="s">
        <v>96</v>
      </c>
      <c r="N155" s="10">
        <v>46326</v>
      </c>
      <c r="O155" s="11"/>
      <c r="P155" s="10">
        <v>46312</v>
      </c>
      <c r="Q155" s="11" t="s">
        <v>152</v>
      </c>
      <c r="R155" s="11" t="s">
        <v>28</v>
      </c>
    </row>
    <row r="156" ht="10.95" customHeight="true" customFormat="true" s="9">
      <c r="A156" s="14" t="s">
        <v>155</v>
      </c>
      <c r="B156" s="14"/>
      <c r="C156" s="14"/>
      <c r="D156" s="14"/>
      <c r="E156" s="14"/>
      <c r="F156" s="15">
        <f ca="1">F155</f>
        <v>0</v>
      </c>
      <c r="G156" s="14"/>
      <c r="H156" s="16">
        <f ca="1">H155</f>
        <v>0</v>
      </c>
      <c r="I156" s="16">
        <f ca="1">I155</f>
        <v>0</v>
      </c>
      <c r="J156" s="16">
        <f ca="1">J155</f>
        <v>0</v>
      </c>
      <c r="K156" s="14"/>
      <c r="L156" s="16">
        <f ca="1">L155</f>
        <v>0</v>
      </c>
      <c r="M156" s="14"/>
      <c r="N156" s="14"/>
      <c r="O156" s="14"/>
      <c r="P156" s="14"/>
      <c r="Q156" s="14"/>
      <c r="R156" s="14"/>
    </row>
    <row r="157" ht="13.35" customHeight="true"/>
    <row r="158" ht="12.1" customHeight="true" customFormat="true" s="5">
      <c r="A158" s="8" t="s">
        <v>156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ht="21.3" customHeight="true" customFormat="true" s="9">
      <c r="A159" s="10">
        <v>46311</v>
      </c>
      <c r="B159" s="11" t="s">
        <v>52</v>
      </c>
      <c r="C159" s="11" t="s">
        <v>93</v>
      </c>
      <c r="D159" s="11" t="s">
        <v>36</v>
      </c>
      <c r="E159" s="17" t="s">
        <v>74</v>
      </c>
      <c r="F159" s="12">
        <v>1.0000</v>
      </c>
      <c r="G159" s="12">
        <v>500.0000</v>
      </c>
      <c r="H159" s="13">
        <v>0</v>
      </c>
      <c r="I159" s="13">
        <v>50.0000</v>
      </c>
      <c r="J159" s="13">
        <v>550.0000</v>
      </c>
      <c r="K159" s="13">
        <v>550.0000</v>
      </c>
      <c r="L159" s="13">
        <v>500.0000</v>
      </c>
      <c r="M159" s="11" t="s">
        <v>99</v>
      </c>
      <c r="N159" s="10">
        <v>46326</v>
      </c>
      <c r="O159" s="11"/>
      <c r="P159" s="10">
        <v>46312</v>
      </c>
      <c r="Q159" s="11" t="s">
        <v>152</v>
      </c>
      <c r="R159" s="11" t="s">
        <v>28</v>
      </c>
    </row>
    <row r="160" ht="10.95" customHeight="true" customFormat="true" s="9">
      <c r="A160" s="14" t="s">
        <v>157</v>
      </c>
      <c r="B160" s="14"/>
      <c r="C160" s="14"/>
      <c r="D160" s="14"/>
      <c r="E160" s="14"/>
      <c r="F160" s="15">
        <f ca="1">F159</f>
        <v>0</v>
      </c>
      <c r="G160" s="14"/>
      <c r="H160" s="16">
        <f ca="1">H159</f>
        <v>0</v>
      </c>
      <c r="I160" s="16">
        <f ca="1">I159</f>
        <v>0</v>
      </c>
      <c r="J160" s="16">
        <f ca="1">J159</f>
        <v>0</v>
      </c>
      <c r="K160" s="14"/>
      <c r="L160" s="16">
        <f ca="1">L159</f>
        <v>0</v>
      </c>
      <c r="M160" s="14"/>
      <c r="N160" s="14"/>
      <c r="O160" s="14"/>
      <c r="P160" s="14"/>
      <c r="Q160" s="14"/>
      <c r="R160" s="14"/>
    </row>
    <row r="161" ht="13.35" customHeight="true"/>
    <row r="162" ht="12.1" customHeight="true" customFormat="true" s="5">
      <c r="A162" s="8" t="s">
        <v>158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ht="21.3" customHeight="true" customFormat="true" s="9">
      <c r="A163" s="10">
        <v>46311</v>
      </c>
      <c r="B163" s="11" t="s">
        <v>52</v>
      </c>
      <c r="C163" s="11" t="s">
        <v>93</v>
      </c>
      <c r="D163" s="11" t="s">
        <v>36</v>
      </c>
      <c r="E163" s="17" t="s">
        <v>74</v>
      </c>
      <c r="F163" s="12">
        <v>1.0000</v>
      </c>
      <c r="G163" s="12">
        <v>500.0000</v>
      </c>
      <c r="H163" s="13">
        <v>0</v>
      </c>
      <c r="I163" s="13">
        <v>50.0000</v>
      </c>
      <c r="J163" s="13">
        <v>550.0000</v>
      </c>
      <c r="K163" s="13">
        <v>550.0000</v>
      </c>
      <c r="L163" s="13">
        <v>500.0000</v>
      </c>
      <c r="M163" s="11" t="s">
        <v>102</v>
      </c>
      <c r="N163" s="10">
        <v>46326</v>
      </c>
      <c r="O163" s="11"/>
      <c r="P163" s="10">
        <v>46312</v>
      </c>
      <c r="Q163" s="11" t="s">
        <v>152</v>
      </c>
      <c r="R163" s="11" t="s">
        <v>28</v>
      </c>
    </row>
    <row r="164" ht="10.95" customHeight="true" customFormat="true" s="9">
      <c r="A164" s="14" t="s">
        <v>159</v>
      </c>
      <c r="B164" s="14"/>
      <c r="C164" s="14"/>
      <c r="D164" s="14"/>
      <c r="E164" s="14"/>
      <c r="F164" s="15">
        <f ca="1">F163</f>
        <v>0</v>
      </c>
      <c r="G164" s="14"/>
      <c r="H164" s="16">
        <f ca="1">H163</f>
        <v>0</v>
      </c>
      <c r="I164" s="16">
        <f ca="1">I163</f>
        <v>0</v>
      </c>
      <c r="J164" s="16">
        <f ca="1">J163</f>
        <v>0</v>
      </c>
      <c r="K164" s="14"/>
      <c r="L164" s="16">
        <f ca="1">L163</f>
        <v>0</v>
      </c>
      <c r="M164" s="14"/>
      <c r="N164" s="14"/>
      <c r="O164" s="14"/>
      <c r="P164" s="14"/>
      <c r="Q164" s="14"/>
      <c r="R164" s="14"/>
    </row>
    <row r="165" ht="13.35" customHeight="true"/>
    <row r="166" ht="12.1" customHeight="true" customFormat="true" s="5">
      <c r="A166" s="8" t="s">
        <v>160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ht="10.95" customHeight="true" customFormat="true" s="9">
      <c r="A167" s="10">
        <v>46311</v>
      </c>
      <c r="B167" s="11" t="s">
        <v>52</v>
      </c>
      <c r="C167" s="11"/>
      <c r="D167" s="11" t="s">
        <v>105</v>
      </c>
      <c r="E167" s="11" t="s">
        <v>161</v>
      </c>
      <c r="F167" s="12">
        <v>1.0000</v>
      </c>
      <c r="G167" s="12">
        <v>450.0000</v>
      </c>
      <c r="H167" s="13">
        <v>0</v>
      </c>
      <c r="I167" s="13">
        <v>45.0000</v>
      </c>
      <c r="J167" s="13">
        <v>495.0000</v>
      </c>
      <c r="K167" s="13">
        <v>495.0000</v>
      </c>
      <c r="L167" s="13">
        <v>450.0000</v>
      </c>
      <c r="M167" s="11" t="s">
        <v>162</v>
      </c>
      <c r="N167" s="10">
        <v>46318</v>
      </c>
      <c r="O167" s="11"/>
      <c r="P167" s="10">
        <v>46312</v>
      </c>
      <c r="Q167" s="11" t="s">
        <v>56</v>
      </c>
      <c r="R167" s="11" t="s">
        <v>28</v>
      </c>
    </row>
    <row r="168" ht="10.95" customHeight="true" customFormat="true" s="9">
      <c r="A168" s="14" t="s">
        <v>163</v>
      </c>
      <c r="B168" s="14"/>
      <c r="C168" s="14"/>
      <c r="D168" s="14"/>
      <c r="E168" s="14"/>
      <c r="F168" s="15">
        <f ca="1">F167</f>
        <v>0</v>
      </c>
      <c r="G168" s="14"/>
      <c r="H168" s="16">
        <f ca="1">H167</f>
        <v>0</v>
      </c>
      <c r="I168" s="16">
        <f ca="1">I167</f>
        <v>0</v>
      </c>
      <c r="J168" s="16">
        <f ca="1">J167</f>
        <v>0</v>
      </c>
      <c r="K168" s="14"/>
      <c r="L168" s="16">
        <f ca="1">L167</f>
        <v>0</v>
      </c>
      <c r="M168" s="14"/>
      <c r="N168" s="14"/>
      <c r="O168" s="14"/>
      <c r="P168" s="14"/>
      <c r="Q168" s="14"/>
      <c r="R168" s="14"/>
    </row>
    <row r="169" ht="13.35" customHeight="true"/>
    <row r="170" ht="12.1" customHeight="true" customFormat="true" s="5">
      <c r="A170" s="8" t="s">
        <v>164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ht="10.95" customHeight="true" customFormat="true" s="9">
      <c r="A171" s="10">
        <v>46296</v>
      </c>
      <c r="B171" s="11" t="s">
        <v>52</v>
      </c>
      <c r="C171" s="11" t="s">
        <v>23</v>
      </c>
      <c r="D171" s="11" t="s">
        <v>47</v>
      </c>
      <c r="E171" s="11" t="s">
        <v>59</v>
      </c>
      <c r="F171" s="12">
        <v>5.0000</v>
      </c>
      <c r="G171" s="12">
        <v>700.0000</v>
      </c>
      <c r="H171" s="13">
        <v>0</v>
      </c>
      <c r="I171" s="13">
        <v>350.0000</v>
      </c>
      <c r="J171" s="13">
        <v>3850.0000</v>
      </c>
      <c r="K171" s="13">
        <v>3850.0000</v>
      </c>
      <c r="L171" s="13">
        <v>3500.0000</v>
      </c>
      <c r="M171" s="11" t="s">
        <v>26</v>
      </c>
      <c r="N171" s="10">
        <v>46316</v>
      </c>
      <c r="O171" s="11"/>
      <c r="P171" s="10">
        <v>46312</v>
      </c>
      <c r="Q171" s="11" t="s">
        <v>56</v>
      </c>
      <c r="R171" s="11" t="s">
        <v>28</v>
      </c>
    </row>
    <row r="172" ht="10.95" customHeight="true" customFormat="true" s="9">
      <c r="A172" s="14" t="s">
        <v>165</v>
      </c>
      <c r="B172" s="14"/>
      <c r="C172" s="14"/>
      <c r="D172" s="14"/>
      <c r="E172" s="14"/>
      <c r="F172" s="15">
        <f ca="1">F171</f>
        <v>0</v>
      </c>
      <c r="G172" s="14"/>
      <c r="H172" s="16">
        <f ca="1">H171</f>
        <v>0</v>
      </c>
      <c r="I172" s="16">
        <f ca="1">I171</f>
        <v>0</v>
      </c>
      <c r="J172" s="16">
        <f ca="1">J171</f>
        <v>0</v>
      </c>
      <c r="K172" s="14"/>
      <c r="L172" s="16">
        <f ca="1">L171</f>
        <v>0</v>
      </c>
      <c r="M172" s="14"/>
      <c r="N172" s="14"/>
      <c r="O172" s="14"/>
      <c r="P172" s="14"/>
      <c r="Q172" s="14"/>
      <c r="R172" s="14"/>
    </row>
    <row r="173" ht="13.35" customHeight="true"/>
    <row r="174" ht="12.1" customHeight="true" customFormat="true" s="5">
      <c r="A174" s="8" t="s">
        <v>166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ht="10.95" customHeight="true" customFormat="true" s="9">
      <c r="A175" s="10">
        <v>46301</v>
      </c>
      <c r="B175" s="11" t="s">
        <v>52</v>
      </c>
      <c r="C175" s="11" t="s">
        <v>167</v>
      </c>
      <c r="D175" s="11" t="s">
        <v>47</v>
      </c>
      <c r="E175" s="11" t="s">
        <v>168</v>
      </c>
      <c r="F175" s="12">
        <v>4.0000</v>
      </c>
      <c r="G175" s="12">
        <v>700.0000</v>
      </c>
      <c r="H175" s="13">
        <v>0</v>
      </c>
      <c r="I175" s="13">
        <v>280.0000</v>
      </c>
      <c r="J175" s="13">
        <v>3080.0000</v>
      </c>
      <c r="K175" s="13">
        <v>3080.0000</v>
      </c>
      <c r="L175" s="13">
        <v>2800.0000</v>
      </c>
      <c r="M175" s="11" t="s">
        <v>169</v>
      </c>
      <c r="N175" s="10">
        <v>46321</v>
      </c>
      <c r="O175" s="11"/>
      <c r="P175" s="10">
        <v>46312</v>
      </c>
      <c r="Q175" s="11" t="s">
        <v>56</v>
      </c>
      <c r="R175" s="11" t="s">
        <v>28</v>
      </c>
    </row>
    <row r="176" ht="10.95" customHeight="true" customFormat="true" s="9">
      <c r="A176" s="14" t="s">
        <v>170</v>
      </c>
      <c r="B176" s="14"/>
      <c r="C176" s="14"/>
      <c r="D176" s="14"/>
      <c r="E176" s="14"/>
      <c r="F176" s="15">
        <f ca="1">F175</f>
        <v>0</v>
      </c>
      <c r="G176" s="14"/>
      <c r="H176" s="16">
        <f ca="1">H175</f>
        <v>0</v>
      </c>
      <c r="I176" s="16">
        <f ca="1">I175</f>
        <v>0</v>
      </c>
      <c r="J176" s="16">
        <f ca="1">J175</f>
        <v>0</v>
      </c>
      <c r="K176" s="14"/>
      <c r="L176" s="16">
        <f ca="1">L175</f>
        <v>0</v>
      </c>
      <c r="M176" s="14"/>
      <c r="N176" s="14"/>
      <c r="O176" s="14"/>
      <c r="P176" s="14"/>
      <c r="Q176" s="14"/>
      <c r="R176" s="14"/>
    </row>
    <row r="177" ht="13.35" customHeight="true"/>
    <row r="178" ht="12.1" customHeight="true" customFormat="true" s="5">
      <c r="A178" s="8" t="s">
        <v>171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ht="10.95" customHeight="true" customFormat="true" s="9">
      <c r="A179" s="10">
        <v>46312</v>
      </c>
      <c r="B179" s="11" t="s">
        <v>52</v>
      </c>
      <c r="C179" s="11"/>
      <c r="D179" s="11" t="s">
        <v>41</v>
      </c>
      <c r="E179" s="11" t="s">
        <v>80</v>
      </c>
      <c r="F179" s="12">
        <v>1.0000</v>
      </c>
      <c r="G179" s="12">
        <v>500.0000</v>
      </c>
      <c r="H179" s="13">
        <v>0</v>
      </c>
      <c r="I179" s="13">
        <v>50.0000</v>
      </c>
      <c r="J179" s="13">
        <v>550.0000</v>
      </c>
      <c r="K179" s="13">
        <v>550.0000</v>
      </c>
      <c r="L179" s="13">
        <v>500.0000</v>
      </c>
      <c r="M179" s="11" t="s">
        <v>172</v>
      </c>
      <c r="N179" s="10">
        <v>46318</v>
      </c>
      <c r="O179" s="11"/>
      <c r="P179" s="10">
        <v>46313</v>
      </c>
      <c r="Q179" s="11" t="s">
        <v>142</v>
      </c>
      <c r="R179" s="11" t="s">
        <v>28</v>
      </c>
    </row>
    <row r="180" ht="10.95" customHeight="true" customFormat="true" s="9">
      <c r="A180" s="14" t="s">
        <v>173</v>
      </c>
      <c r="B180" s="14"/>
      <c r="C180" s="14"/>
      <c r="D180" s="14"/>
      <c r="E180" s="14"/>
      <c r="F180" s="15">
        <f ca="1">F179</f>
        <v>0</v>
      </c>
      <c r="G180" s="14"/>
      <c r="H180" s="16">
        <f ca="1">H179</f>
        <v>0</v>
      </c>
      <c r="I180" s="16">
        <f ca="1">I179</f>
        <v>0</v>
      </c>
      <c r="J180" s="16">
        <f ca="1">J179</f>
        <v>0</v>
      </c>
      <c r="K180" s="14"/>
      <c r="L180" s="16">
        <f ca="1">L179</f>
        <v>0</v>
      </c>
      <c r="M180" s="14"/>
      <c r="N180" s="14"/>
      <c r="O180" s="14"/>
      <c r="P180" s="14"/>
      <c r="Q180" s="14"/>
      <c r="R180" s="14"/>
    </row>
    <row r="181" ht="13.35" customHeight="true"/>
    <row r="182" ht="12.1" customHeight="true" customFormat="true" s="5">
      <c r="A182" s="8" t="s">
        <v>174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ht="10.95" customHeight="true" customFormat="true" s="9">
      <c r="A183" s="10">
        <v>46312</v>
      </c>
      <c r="B183" s="11" t="s">
        <v>52</v>
      </c>
      <c r="C183" s="11"/>
      <c r="D183" s="11"/>
      <c r="E183" s="11" t="s">
        <v>175</v>
      </c>
      <c r="F183" s="12">
        <v>1.0000</v>
      </c>
      <c r="G183" s="12">
        <v>481.41</v>
      </c>
      <c r="H183" s="13">
        <v>0</v>
      </c>
      <c r="I183" s="13">
        <v>48.14</v>
      </c>
      <c r="J183" s="13">
        <v>529.55</v>
      </c>
      <c r="K183" s="13">
        <v>914.5500</v>
      </c>
      <c r="L183" s="13">
        <v>481.41</v>
      </c>
      <c r="M183" s="11" t="s">
        <v>176</v>
      </c>
      <c r="N183" s="10">
        <v>46322</v>
      </c>
      <c r="O183" s="11"/>
      <c r="P183" s="10">
        <v>46313</v>
      </c>
      <c r="Q183" s="11" t="s">
        <v>56</v>
      </c>
      <c r="R183" s="11" t="s">
        <v>28</v>
      </c>
    </row>
    <row r="184" ht="10.95" customHeight="true" customFormat="true" s="9">
      <c r="A184" s="18">
        <v>46312</v>
      </c>
      <c r="B184" s="19" t="s">
        <v>52</v>
      </c>
      <c r="C184" s="19"/>
      <c r="D184" s="19"/>
      <c r="E184" s="19" t="s">
        <v>177</v>
      </c>
      <c r="F184" s="20">
        <v>5.0000</v>
      </c>
      <c r="G184" s="20">
        <v>70</v>
      </c>
      <c r="H184" s="21">
        <v>0</v>
      </c>
      <c r="I184" s="21">
        <v>35</v>
      </c>
      <c r="J184" s="21">
        <v>385</v>
      </c>
      <c r="K184" s="21">
        <v>914.5500</v>
      </c>
      <c r="L184" s="21">
        <v>350</v>
      </c>
      <c r="M184" s="19" t="s">
        <v>176</v>
      </c>
      <c r="N184" s="18">
        <v>46322</v>
      </c>
      <c r="O184" s="19"/>
      <c r="P184" s="18">
        <v>46313</v>
      </c>
      <c r="Q184" s="19" t="s">
        <v>56</v>
      </c>
      <c r="R184" s="19" t="s">
        <v>28</v>
      </c>
    </row>
    <row r="185" ht="10.95" customHeight="true" customFormat="true" s="9">
      <c r="A185" s="14" t="s">
        <v>178</v>
      </c>
      <c r="B185" s="14"/>
      <c r="C185" s="14"/>
      <c r="D185" s="14"/>
      <c r="E185" s="14"/>
      <c r="F185" s="15">
        <f ca="1">SUM(F183:F184)</f>
        <v>0</v>
      </c>
      <c r="G185" s="14"/>
      <c r="H185" s="16">
        <f ca="1">SUM(H183:H184)</f>
        <v>0</v>
      </c>
      <c r="I185" s="16">
        <f ca="1">SUM(I183:I184)</f>
        <v>0</v>
      </c>
      <c r="J185" s="16">
        <f ca="1">SUM(J183:J184)</f>
        <v>0</v>
      </c>
      <c r="K185" s="14"/>
      <c r="L185" s="16">
        <f ca="1">SUM(L183:L184)</f>
        <v>0</v>
      </c>
      <c r="M185" s="14"/>
      <c r="N185" s="14"/>
      <c r="O185" s="14"/>
      <c r="P185" s="14"/>
      <c r="Q185" s="14"/>
      <c r="R185" s="14"/>
    </row>
    <row r="186" ht="13.35" customHeight="true"/>
    <row r="187" ht="12.1" customHeight="true" customFormat="true" s="5">
      <c r="A187" s="8" t="s">
        <v>179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ht="10.95" customHeight="true" customFormat="true" s="9">
      <c r="A188" s="10">
        <v>46280</v>
      </c>
      <c r="B188" s="11" t="s">
        <v>22</v>
      </c>
      <c r="C188" s="11"/>
      <c r="D188" s="11"/>
      <c r="E188" s="11" t="s">
        <v>180</v>
      </c>
      <c r="F188" s="12">
        <v>-1.0000</v>
      </c>
      <c r="G188" s="12">
        <v>55</v>
      </c>
      <c r="H188" s="13">
        <v>0</v>
      </c>
      <c r="I188" s="13">
        <v>-5.5</v>
      </c>
      <c r="J188" s="13">
        <v>-60.5</v>
      </c>
      <c r="K188" s="13">
        <v>-60.5000</v>
      </c>
      <c r="L188" s="13">
        <v>-55</v>
      </c>
      <c r="M188" s="11" t="s">
        <v>71</v>
      </c>
      <c r="N188" s="10">
        <v>46280</v>
      </c>
      <c r="O188" s="11"/>
      <c r="P188" s="10">
        <v>46353</v>
      </c>
      <c r="Q188" s="11" t="s">
        <v>56</v>
      </c>
      <c r="R188" s="11" t="s">
        <v>28</v>
      </c>
    </row>
    <row r="189" ht="10.95" customHeight="true" customFormat="true" s="9">
      <c r="A189" s="14" t="s">
        <v>181</v>
      </c>
      <c r="B189" s="14"/>
      <c r="C189" s="14"/>
      <c r="D189" s="14"/>
      <c r="E189" s="14"/>
      <c r="F189" s="15">
        <f ca="1">F188</f>
        <v>0</v>
      </c>
      <c r="G189" s="14"/>
      <c r="H189" s="16">
        <f ca="1">H188</f>
        <v>0</v>
      </c>
      <c r="I189" s="16">
        <f ca="1">I188</f>
        <v>0</v>
      </c>
      <c r="J189" s="16">
        <f ca="1">J188</f>
        <v>0</v>
      </c>
      <c r="K189" s="14"/>
      <c r="L189" s="16">
        <f ca="1">L188</f>
        <v>0</v>
      </c>
      <c r="M189" s="14"/>
      <c r="N189" s="14"/>
      <c r="O189" s="14"/>
      <c r="P189" s="14"/>
      <c r="Q189" s="14"/>
      <c r="R189" s="14"/>
    </row>
    <row r="190" ht="13.35" customHeight="true"/>
    <row r="191" ht="12.1" customHeight="true" customFormat="true" s="5">
      <c r="A191" s="8" t="s">
        <v>182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ht="10.95" customHeight="true" customFormat="true" s="9">
      <c r="A192" s="10">
        <v>46312</v>
      </c>
      <c r="B192" s="11" t="s">
        <v>52</v>
      </c>
      <c r="C192" s="11" t="s">
        <v>183</v>
      </c>
      <c r="D192" s="11"/>
      <c r="E192" s="11" t="s">
        <v>184</v>
      </c>
      <c r="F192" s="12">
        <v>4.0000</v>
      </c>
      <c r="G192" s="12">
        <v>90</v>
      </c>
      <c r="H192" s="13">
        <v>0</v>
      </c>
      <c r="I192" s="13">
        <v>36</v>
      </c>
      <c r="J192" s="13">
        <v>396</v>
      </c>
      <c r="K192" s="13">
        <v>396.0000</v>
      </c>
      <c r="L192" s="13">
        <v>360</v>
      </c>
      <c r="M192" s="11" t="s">
        <v>185</v>
      </c>
      <c r="N192" s="10">
        <v>46318</v>
      </c>
      <c r="O192" s="11"/>
      <c r="P192" s="10">
        <v>46310</v>
      </c>
      <c r="Q192" s="11" t="s">
        <v>56</v>
      </c>
      <c r="R192" s="11" t="s">
        <v>28</v>
      </c>
    </row>
    <row r="193" ht="10.95" customHeight="true" customFormat="true" s="9">
      <c r="A193" s="14" t="s">
        <v>186</v>
      </c>
      <c r="B193" s="14"/>
      <c r="C193" s="14"/>
      <c r="D193" s="14"/>
      <c r="E193" s="14"/>
      <c r="F193" s="15">
        <f ca="1">F192</f>
        <v>0</v>
      </c>
      <c r="G193" s="14"/>
      <c r="H193" s="16">
        <f ca="1">H192</f>
        <v>0</v>
      </c>
      <c r="I193" s="16">
        <f ca="1">I192</f>
        <v>0</v>
      </c>
      <c r="J193" s="16">
        <f ca="1">J192</f>
        <v>0</v>
      </c>
      <c r="K193" s="14"/>
      <c r="L193" s="16">
        <f ca="1">L192</f>
        <v>0</v>
      </c>
      <c r="M193" s="14"/>
      <c r="N193" s="14"/>
      <c r="O193" s="14"/>
      <c r="P193" s="14"/>
      <c r="Q193" s="14"/>
      <c r="R193" s="14"/>
    </row>
    <row r="194" ht="13.35" customHeight="true"/>
    <row r="195" ht="12.1" customHeight="true" customFormat="true" s="5">
      <c r="A195" s="8" t="s">
        <v>187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ht="10.95" customHeight="true" customFormat="true" s="9">
      <c r="A196" s="10">
        <v>46312</v>
      </c>
      <c r="B196" s="11" t="s">
        <v>52</v>
      </c>
      <c r="C196" s="11" t="s">
        <v>188</v>
      </c>
      <c r="D196" s="11"/>
      <c r="E196" s="11" t="s">
        <v>189</v>
      </c>
      <c r="F196" s="12">
        <v>1.0000</v>
      </c>
      <c r="G196" s="12">
        <v>9.09</v>
      </c>
      <c r="H196" s="13">
        <v>0</v>
      </c>
      <c r="I196" s="13">
        <v>0.91</v>
      </c>
      <c r="J196" s="13">
        <v>10.00</v>
      </c>
      <c r="K196" s="13">
        <v>234.0000</v>
      </c>
      <c r="L196" s="13">
        <v>9.09</v>
      </c>
      <c r="M196" s="11" t="s">
        <v>190</v>
      </c>
      <c r="N196" s="10">
        <v>46330</v>
      </c>
      <c r="O196" s="11"/>
      <c r="P196" s="10">
        <v>46312</v>
      </c>
      <c r="Q196" s="11" t="s">
        <v>56</v>
      </c>
      <c r="R196" s="11" t="s">
        <v>191</v>
      </c>
    </row>
    <row r="197" ht="10.95" customHeight="true" customFormat="true" s="9">
      <c r="A197" s="18">
        <v>46312</v>
      </c>
      <c r="B197" s="19" t="s">
        <v>52</v>
      </c>
      <c r="C197" s="19" t="s">
        <v>188</v>
      </c>
      <c r="D197" s="19" t="s">
        <v>188</v>
      </c>
      <c r="E197" s="19" t="s">
        <v>192</v>
      </c>
      <c r="F197" s="20">
        <v>40.0000</v>
      </c>
      <c r="G197" s="20">
        <v>5.09</v>
      </c>
      <c r="H197" s="21">
        <v>0</v>
      </c>
      <c r="I197" s="21">
        <v>20.36</v>
      </c>
      <c r="J197" s="21">
        <v>224.00</v>
      </c>
      <c r="K197" s="21">
        <v>234.0000</v>
      </c>
      <c r="L197" s="21">
        <v>203.64</v>
      </c>
      <c r="M197" s="19" t="s">
        <v>190</v>
      </c>
      <c r="N197" s="18">
        <v>46330</v>
      </c>
      <c r="O197" s="19"/>
      <c r="P197" s="18">
        <v>46312</v>
      </c>
      <c r="Q197" s="19" t="s">
        <v>56</v>
      </c>
      <c r="R197" s="19" t="s">
        <v>28</v>
      </c>
    </row>
    <row r="198" ht="10.95" customHeight="true" customFormat="true" s="9">
      <c r="A198" s="14" t="s">
        <v>193</v>
      </c>
      <c r="B198" s="14"/>
      <c r="C198" s="14"/>
      <c r="D198" s="14"/>
      <c r="E198" s="14"/>
      <c r="F198" s="15">
        <f ca="1">SUM(F196:F197)</f>
        <v>0</v>
      </c>
      <c r="G198" s="14"/>
      <c r="H198" s="16">
        <f ca="1">SUM(H196:H197)</f>
        <v>0</v>
      </c>
      <c r="I198" s="16">
        <f ca="1">SUM(I196:I197)</f>
        <v>0</v>
      </c>
      <c r="J198" s="16">
        <f ca="1">SUM(J196:J197)</f>
        <v>0</v>
      </c>
      <c r="K198" s="14"/>
      <c r="L198" s="16">
        <f ca="1">SUM(L196:L197)</f>
        <v>0</v>
      </c>
      <c r="M198" s="14"/>
      <c r="N198" s="14"/>
      <c r="O198" s="14"/>
      <c r="P198" s="14"/>
      <c r="Q198" s="14"/>
      <c r="R198" s="14"/>
    </row>
    <row r="199" ht="13.35" customHeight="true"/>
    <row r="200" ht="12.1" customHeight="true" customFormat="true" s="5">
      <c r="A200" s="8" t="s">
        <v>194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ht="10.95" customHeight="true" customFormat="true" s="9">
      <c r="A201" s="10">
        <v>46307</v>
      </c>
      <c r="B201" s="11" t="s">
        <v>52</v>
      </c>
      <c r="C201" s="11"/>
      <c r="D201" s="11" t="s">
        <v>195</v>
      </c>
      <c r="E201" s="11" t="s">
        <v>196</v>
      </c>
      <c r="F201" s="12">
        <v>100.0000</v>
      </c>
      <c r="G201" s="12">
        <v>29.09</v>
      </c>
      <c r="H201" s="13">
        <v>0</v>
      </c>
      <c r="I201" s="13">
        <v>290.91</v>
      </c>
      <c r="J201" s="13">
        <v>3200.00</v>
      </c>
      <c r="K201" s="13">
        <v>3200.0000</v>
      </c>
      <c r="L201" s="13">
        <v>2909.09</v>
      </c>
      <c r="M201" s="11" t="s">
        <v>190</v>
      </c>
      <c r="N201" s="10">
        <v>46321</v>
      </c>
      <c r="O201" s="11"/>
      <c r="P201" s="10">
        <v>46313</v>
      </c>
      <c r="Q201" s="11" t="s">
        <v>56</v>
      </c>
      <c r="R201" s="11" t="s">
        <v>28</v>
      </c>
    </row>
    <row r="202" ht="10.95" customHeight="true" customFormat="true" s="9">
      <c r="A202" s="14" t="s">
        <v>197</v>
      </c>
      <c r="B202" s="14"/>
      <c r="C202" s="14"/>
      <c r="D202" s="14"/>
      <c r="E202" s="14"/>
      <c r="F202" s="15">
        <f ca="1">F201</f>
        <v>0</v>
      </c>
      <c r="G202" s="14"/>
      <c r="H202" s="16">
        <f ca="1">H201</f>
        <v>0</v>
      </c>
      <c r="I202" s="16">
        <f ca="1">I201</f>
        <v>0</v>
      </c>
      <c r="J202" s="16">
        <f ca="1">J201</f>
        <v>0</v>
      </c>
      <c r="K202" s="14"/>
      <c r="L202" s="16">
        <f ca="1">L201</f>
        <v>0</v>
      </c>
      <c r="M202" s="14"/>
      <c r="N202" s="14"/>
      <c r="O202" s="14"/>
      <c r="P202" s="14"/>
      <c r="Q202" s="14"/>
      <c r="R202" s="14"/>
    </row>
    <row r="203" ht="13.35" customHeight="true"/>
    <row r="204" ht="12.1" customHeight="true" customFormat="true" s="5">
      <c r="A204" s="8" t="s">
        <v>198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ht="10.95" customHeight="true" customFormat="true" s="9">
      <c r="A205" s="10">
        <v>46309</v>
      </c>
      <c r="B205" s="11" t="s">
        <v>52</v>
      </c>
      <c r="C205" s="11"/>
      <c r="D205" s="11" t="s">
        <v>31</v>
      </c>
      <c r="E205" s="11" t="s">
        <v>63</v>
      </c>
      <c r="F205" s="12">
        <v>40.0000</v>
      </c>
      <c r="G205" s="12">
        <v>95.45</v>
      </c>
      <c r="H205" s="13">
        <v>0</v>
      </c>
      <c r="I205" s="13">
        <v>381.82</v>
      </c>
      <c r="J205" s="13">
        <v>4200.00</v>
      </c>
      <c r="K205" s="13">
        <v>4200.0000</v>
      </c>
      <c r="L205" s="13">
        <v>3818.18</v>
      </c>
      <c r="M205" s="11" t="s">
        <v>26</v>
      </c>
      <c r="N205" s="10">
        <v>46333</v>
      </c>
      <c r="O205" s="11"/>
      <c r="P205" s="10">
        <v>46313</v>
      </c>
      <c r="Q205" s="11" t="s">
        <v>56</v>
      </c>
      <c r="R205" s="11" t="s">
        <v>28</v>
      </c>
    </row>
    <row r="206" ht="10.95" customHeight="true" customFormat="true" s="9">
      <c r="A206" s="14" t="s">
        <v>199</v>
      </c>
      <c r="B206" s="14"/>
      <c r="C206" s="14"/>
      <c r="D206" s="14"/>
      <c r="E206" s="14"/>
      <c r="F206" s="15">
        <f ca="1">F205</f>
        <v>0</v>
      </c>
      <c r="G206" s="14"/>
      <c r="H206" s="16">
        <f ca="1">H205</f>
        <v>0</v>
      </c>
      <c r="I206" s="16">
        <f ca="1">I205</f>
        <v>0</v>
      </c>
      <c r="J206" s="16">
        <f ca="1">J205</f>
        <v>0</v>
      </c>
      <c r="K206" s="14"/>
      <c r="L206" s="16">
        <f ca="1">L205</f>
        <v>0</v>
      </c>
      <c r="M206" s="14"/>
      <c r="N206" s="14"/>
      <c r="O206" s="14"/>
      <c r="P206" s="14"/>
      <c r="Q206" s="14"/>
      <c r="R206" s="14"/>
    </row>
    <row r="207" ht="13.35" customHeight="true"/>
    <row r="208" ht="12.1" customHeight="true" customFormat="true" s="5">
      <c r="A208" s="8" t="s">
        <v>200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ht="21.3" customHeight="true" customFormat="true" s="9">
      <c r="A209" s="10">
        <v>46312</v>
      </c>
      <c r="B209" s="11" t="s">
        <v>52</v>
      </c>
      <c r="C209" s="11" t="s">
        <v>201</v>
      </c>
      <c r="D209" s="11" t="s">
        <v>36</v>
      </c>
      <c r="E209" s="17" t="s">
        <v>74</v>
      </c>
      <c r="F209" s="12">
        <v>3.0000</v>
      </c>
      <c r="G209" s="12">
        <v>500</v>
      </c>
      <c r="H209" s="13">
        <v>0</v>
      </c>
      <c r="I209" s="13">
        <v>150</v>
      </c>
      <c r="J209" s="13">
        <v>1650</v>
      </c>
      <c r="K209" s="13">
        <v>1650.0000</v>
      </c>
      <c r="L209" s="13">
        <v>1500</v>
      </c>
      <c r="M209" s="11" t="s">
        <v>141</v>
      </c>
      <c r="N209" s="10">
        <v>46325</v>
      </c>
      <c r="O209" s="11"/>
      <c r="P209" s="10">
        <v>46313</v>
      </c>
      <c r="Q209" s="11" t="s">
        <v>56</v>
      </c>
      <c r="R209" s="11" t="s">
        <v>28</v>
      </c>
    </row>
    <row r="210" ht="10.95" customHeight="true" customFormat="true" s="9">
      <c r="A210" s="14" t="s">
        <v>202</v>
      </c>
      <c r="B210" s="14"/>
      <c r="C210" s="14"/>
      <c r="D210" s="14"/>
      <c r="E210" s="14"/>
      <c r="F210" s="15">
        <f ca="1">F209</f>
        <v>0</v>
      </c>
      <c r="G210" s="14"/>
      <c r="H210" s="16">
        <f ca="1">H209</f>
        <v>0</v>
      </c>
      <c r="I210" s="16">
        <f ca="1">I209</f>
        <v>0</v>
      </c>
      <c r="J210" s="16">
        <f ca="1">J209</f>
        <v>0</v>
      </c>
      <c r="K210" s="14"/>
      <c r="L210" s="16">
        <f ca="1">L209</f>
        <v>0</v>
      </c>
      <c r="M210" s="14"/>
      <c r="N210" s="14"/>
      <c r="O210" s="14"/>
      <c r="P210" s="14"/>
      <c r="Q210" s="14"/>
      <c r="R210" s="14"/>
    </row>
    <row r="211" ht="13.35" customHeight="true"/>
    <row r="212" ht="12.1" customHeight="true" customFormat="true" s="5">
      <c r="A212" s="8" t="s">
        <v>203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ht="10.95" customHeight="true" customFormat="true" s="9">
      <c r="A213" s="10">
        <v>46296</v>
      </c>
      <c r="B213" s="11" t="s">
        <v>52</v>
      </c>
      <c r="C213" s="11" t="s">
        <v>204</v>
      </c>
      <c r="D213" s="11" t="s">
        <v>195</v>
      </c>
      <c r="E213" s="11" t="s">
        <v>204</v>
      </c>
      <c r="F213" s="12">
        <v>3.0000</v>
      </c>
      <c r="G213" s="12">
        <v>32</v>
      </c>
      <c r="H213" s="13">
        <v>0</v>
      </c>
      <c r="I213" s="13">
        <v>9.6</v>
      </c>
      <c r="J213" s="13">
        <v>105.6</v>
      </c>
      <c r="K213" s="13">
        <v>105.6000</v>
      </c>
      <c r="L213" s="13">
        <v>96</v>
      </c>
      <c r="M213" s="11" t="s">
        <v>205</v>
      </c>
      <c r="N213" s="10">
        <v>46303</v>
      </c>
      <c r="O213" s="10">
        <v>46306</v>
      </c>
      <c r="P213" s="10">
        <v>46313</v>
      </c>
      <c r="Q213" s="11" t="s">
        <v>27</v>
      </c>
      <c r="R213" s="11" t="s">
        <v>28</v>
      </c>
    </row>
    <row r="214" ht="10.95" customHeight="true" customFormat="true" s="9">
      <c r="A214" s="14" t="s">
        <v>206</v>
      </c>
      <c r="B214" s="14"/>
      <c r="C214" s="14"/>
      <c r="D214" s="14"/>
      <c r="E214" s="14"/>
      <c r="F214" s="15">
        <f ca="1">F213</f>
        <v>0</v>
      </c>
      <c r="G214" s="14"/>
      <c r="H214" s="16">
        <f ca="1">H213</f>
        <v>0</v>
      </c>
      <c r="I214" s="16">
        <f ca="1">I213</f>
        <v>0</v>
      </c>
      <c r="J214" s="16">
        <f ca="1">J213</f>
        <v>0</v>
      </c>
      <c r="K214" s="14"/>
      <c r="L214" s="16">
        <f ca="1">L213</f>
        <v>0</v>
      </c>
      <c r="M214" s="14"/>
      <c r="N214" s="14"/>
      <c r="O214" s="14"/>
      <c r="P214" s="14"/>
      <c r="Q214" s="14"/>
      <c r="R214" s="14"/>
    </row>
    <row r="215" ht="13.35" customHeight="true"/>
    <row r="216" ht="12.1" customHeight="true" customFormat="true" s="5">
      <c r="A216" s="8" t="s">
        <v>207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ht="10.95" customHeight="true" customFormat="true" s="9">
      <c r="A217" s="10">
        <v>46296</v>
      </c>
      <c r="B217" s="11" t="s">
        <v>52</v>
      </c>
      <c r="C217" s="11" t="s">
        <v>208</v>
      </c>
      <c r="D217" s="11" t="s">
        <v>105</v>
      </c>
      <c r="E217" s="11" t="s">
        <v>209</v>
      </c>
      <c r="F217" s="12">
        <v>1.0000</v>
      </c>
      <c r="G217" s="12">
        <v>300</v>
      </c>
      <c r="H217" s="13">
        <v>0</v>
      </c>
      <c r="I217" s="13">
        <v>30</v>
      </c>
      <c r="J217" s="13">
        <v>330</v>
      </c>
      <c r="K217" s="13">
        <v>330.0000</v>
      </c>
      <c r="L217" s="13">
        <v>300</v>
      </c>
      <c r="M217" s="11" t="s">
        <v>43</v>
      </c>
      <c r="N217" s="10">
        <v>46303</v>
      </c>
      <c r="O217" s="10">
        <v>46307</v>
      </c>
      <c r="P217" s="10">
        <v>46313</v>
      </c>
      <c r="Q217" s="11" t="s">
        <v>27</v>
      </c>
      <c r="R217" s="11" t="s">
        <v>28</v>
      </c>
    </row>
    <row r="218" ht="10.95" customHeight="true" customFormat="true" s="9">
      <c r="A218" s="14" t="s">
        <v>210</v>
      </c>
      <c r="B218" s="14"/>
      <c r="C218" s="14"/>
      <c r="D218" s="14"/>
      <c r="E218" s="14"/>
      <c r="F218" s="15">
        <f ca="1">F217</f>
        <v>0</v>
      </c>
      <c r="G218" s="14"/>
      <c r="H218" s="16">
        <f ca="1">H217</f>
        <v>0</v>
      </c>
      <c r="I218" s="16">
        <f ca="1">I217</f>
        <v>0</v>
      </c>
      <c r="J218" s="16">
        <f ca="1">J217</f>
        <v>0</v>
      </c>
      <c r="K218" s="14"/>
      <c r="L218" s="16">
        <f ca="1">L217</f>
        <v>0</v>
      </c>
      <c r="M218" s="14"/>
      <c r="N218" s="14"/>
      <c r="O218" s="14"/>
      <c r="P218" s="14"/>
      <c r="Q218" s="14"/>
      <c r="R218" s="14"/>
    </row>
    <row r="219" ht="13.35" customHeight="true"/>
    <row r="220" ht="12.1" customHeight="true" customFormat="true" s="5">
      <c r="A220" s="8" t="s">
        <v>211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ht="10.95" customHeight="true" customFormat="true" s="9">
      <c r="A221" s="10">
        <v>46301</v>
      </c>
      <c r="B221" s="11" t="s">
        <v>52</v>
      </c>
      <c r="C221" s="11" t="s">
        <v>212</v>
      </c>
      <c r="D221" s="11" t="s">
        <v>41</v>
      </c>
      <c r="E221" s="11" t="s">
        <v>213</v>
      </c>
      <c r="F221" s="12">
        <v>1.0000</v>
      </c>
      <c r="G221" s="12">
        <v>500</v>
      </c>
      <c r="H221" s="13">
        <v>0</v>
      </c>
      <c r="I221" s="13">
        <v>50</v>
      </c>
      <c r="J221" s="13">
        <v>550</v>
      </c>
      <c r="K221" s="13">
        <v>550.0000</v>
      </c>
      <c r="L221" s="13">
        <v>500</v>
      </c>
      <c r="M221" s="11" t="s">
        <v>141</v>
      </c>
      <c r="N221" s="10">
        <v>46308</v>
      </c>
      <c r="O221" s="10">
        <v>46310</v>
      </c>
      <c r="P221" s="10">
        <v>46313</v>
      </c>
      <c r="Q221" s="11" t="s">
        <v>27</v>
      </c>
      <c r="R221" s="11" t="s">
        <v>28</v>
      </c>
    </row>
    <row r="222" ht="10.95" customHeight="true" customFormat="true" s="9">
      <c r="A222" s="14" t="s">
        <v>214</v>
      </c>
      <c r="B222" s="14"/>
      <c r="C222" s="14"/>
      <c r="D222" s="14"/>
      <c r="E222" s="14"/>
      <c r="F222" s="15">
        <f ca="1">F221</f>
        <v>0</v>
      </c>
      <c r="G222" s="14"/>
      <c r="H222" s="16">
        <f ca="1">H221</f>
        <v>0</v>
      </c>
      <c r="I222" s="16">
        <f ca="1">I221</f>
        <v>0</v>
      </c>
      <c r="J222" s="16">
        <f ca="1">J221</f>
        <v>0</v>
      </c>
      <c r="K222" s="14"/>
      <c r="L222" s="16">
        <f ca="1">L221</f>
        <v>0</v>
      </c>
      <c r="M222" s="14"/>
      <c r="N222" s="14"/>
      <c r="O222" s="14"/>
      <c r="P222" s="14"/>
      <c r="Q222" s="14"/>
      <c r="R222" s="14"/>
    </row>
    <row r="223" ht="13.35" customHeight="true"/>
    <row r="224" ht="12.1" customHeight="true" customFormat="true" s="5">
      <c r="A224" s="8" t="s">
        <v>215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ht="10.95" customHeight="true" customFormat="true" s="9">
      <c r="A225" s="10">
        <v>46304</v>
      </c>
      <c r="B225" s="11" t="s">
        <v>52</v>
      </c>
      <c r="C225" s="11" t="s">
        <v>216</v>
      </c>
      <c r="D225" s="11" t="s">
        <v>217</v>
      </c>
      <c r="E225" s="11" t="s">
        <v>218</v>
      </c>
      <c r="F225" s="12">
        <v>40.0000</v>
      </c>
      <c r="G225" s="12">
        <v>90</v>
      </c>
      <c r="H225" s="13">
        <v>0</v>
      </c>
      <c r="I225" s="13">
        <v>360</v>
      </c>
      <c r="J225" s="13">
        <v>3960</v>
      </c>
      <c r="K225" s="13">
        <v>3960.0000</v>
      </c>
      <c r="L225" s="13">
        <v>3600</v>
      </c>
      <c r="M225" s="11" t="s">
        <v>141</v>
      </c>
      <c r="N225" s="10">
        <v>46311</v>
      </c>
      <c r="O225" s="10">
        <v>46310</v>
      </c>
      <c r="P225" s="10">
        <v>46313</v>
      </c>
      <c r="Q225" s="11" t="s">
        <v>27</v>
      </c>
      <c r="R225" s="11" t="s">
        <v>28</v>
      </c>
    </row>
    <row r="226" ht="10.95" customHeight="true" customFormat="true" s="9">
      <c r="A226" s="14" t="s">
        <v>219</v>
      </c>
      <c r="B226" s="14"/>
      <c r="C226" s="14"/>
      <c r="D226" s="14"/>
      <c r="E226" s="14"/>
      <c r="F226" s="15">
        <f ca="1">F225</f>
        <v>0</v>
      </c>
      <c r="G226" s="14"/>
      <c r="H226" s="16">
        <f ca="1">H225</f>
        <v>0</v>
      </c>
      <c r="I226" s="16">
        <f ca="1">I225</f>
        <v>0</v>
      </c>
      <c r="J226" s="16">
        <f ca="1">J225</f>
        <v>0</v>
      </c>
      <c r="K226" s="14"/>
      <c r="L226" s="16">
        <f ca="1">L225</f>
        <v>0</v>
      </c>
      <c r="M226" s="14"/>
      <c r="N226" s="14"/>
      <c r="O226" s="14"/>
      <c r="P226" s="14"/>
      <c r="Q226" s="14"/>
      <c r="R226" s="14"/>
    </row>
    <row r="227" ht="13.35" customHeight="true"/>
    <row r="228" ht="12.1" customHeight="true" customFormat="true" s="5">
      <c r="A228" s="8" t="s">
        <v>220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ht="10.95" customHeight="true" customFormat="true" s="9">
      <c r="A229" s="10">
        <v>46304</v>
      </c>
      <c r="B229" s="11" t="s">
        <v>52</v>
      </c>
      <c r="C229" s="11" t="s">
        <v>216</v>
      </c>
      <c r="D229" s="11" t="s">
        <v>217</v>
      </c>
      <c r="E229" s="11" t="s">
        <v>218</v>
      </c>
      <c r="F229" s="12">
        <v>23.0000</v>
      </c>
      <c r="G229" s="12">
        <v>90</v>
      </c>
      <c r="H229" s="13">
        <v>0</v>
      </c>
      <c r="I229" s="13">
        <v>207</v>
      </c>
      <c r="J229" s="13">
        <v>2277</v>
      </c>
      <c r="K229" s="13">
        <v>2277.0000</v>
      </c>
      <c r="L229" s="13">
        <v>2070</v>
      </c>
      <c r="M229" s="11" t="s">
        <v>90</v>
      </c>
      <c r="N229" s="10">
        <v>46311</v>
      </c>
      <c r="O229" s="10">
        <v>46311</v>
      </c>
      <c r="P229" s="10">
        <v>46313</v>
      </c>
      <c r="Q229" s="11" t="s">
        <v>27</v>
      </c>
      <c r="R229" s="11" t="s">
        <v>28</v>
      </c>
    </row>
    <row r="230" ht="10.95" customHeight="true" customFormat="true" s="9">
      <c r="A230" s="14" t="s">
        <v>221</v>
      </c>
      <c r="B230" s="14"/>
      <c r="C230" s="14"/>
      <c r="D230" s="14"/>
      <c r="E230" s="14"/>
      <c r="F230" s="15">
        <f ca="1">F229</f>
        <v>0</v>
      </c>
      <c r="G230" s="14"/>
      <c r="H230" s="16">
        <f ca="1">H229</f>
        <v>0</v>
      </c>
      <c r="I230" s="16">
        <f ca="1">I229</f>
        <v>0</v>
      </c>
      <c r="J230" s="16">
        <f ca="1">J229</f>
        <v>0</v>
      </c>
      <c r="K230" s="14"/>
      <c r="L230" s="16">
        <f ca="1">L229</f>
        <v>0</v>
      </c>
      <c r="M230" s="14"/>
      <c r="N230" s="14"/>
      <c r="O230" s="14"/>
      <c r="P230" s="14"/>
      <c r="Q230" s="14"/>
      <c r="R230" s="14"/>
    </row>
    <row r="231" ht="10.95" customHeight="true" customFormat="true" s="9">
      <c r="A231" s="19" t="s">
        <v>222</v>
      </c>
      <c r="B231" s="19"/>
      <c r="C231" s="19"/>
      <c r="D231" s="19"/>
      <c r="E231" s="19"/>
      <c r="F231" s="20">
        <f ca="1">SUM(F9,F13,F17,F21,F25,F29,F33,F37,F41,F45,F49,F53,F57,F63,F67,F71,F75,F79,F83,F87,F91,F95,F99,F103,F107,F111,F115,F119,F123,F127,F131,F135,F140,F144,F148,F152,F156,F160,F164,F168,F172,F176,F180,F185,F189,F193,F198,F202,F206,F210,F214,F218,F222,F226,F230)</f>
        <v>0</v>
      </c>
      <c r="G231" s="20">
        <v>0</v>
      </c>
      <c r="H231" s="21">
        <f ca="1">SUM(H9,H13,H17,H21,H25,H29,H33,H37,H41,H45,H49,H53,H57,H63,H67,H71,H75,H79,H83,H87,H91,H95,H99,H103,H107,H111,H115,H119,H123,H127,H131,H135,H140,H144,H148,H152,H156,H160,H164,H168,H172,H176,H180,H185,H189,H193,H198,H202,H206,H210,H214,H218,H222,H226,H230)</f>
        <v>0</v>
      </c>
      <c r="I231" s="21">
        <f ca="1">SUM(I9,I13,I17,I21,I25,I29,I33,I37,I41,I45,I49,I53,I57,I63,I67,I71,I75,I79,I83,I87,I91,I95,I99,I103,I107,I111,I115,I119,I123,I127,I131,I135,I140,I144,I148,I152,I156,I160,I164,I168,I172,I176,I180,I185,I189,I193,I198,I202,I206,I210,I214,I218,I222,I226,I230)</f>
        <v>0</v>
      </c>
      <c r="J231" s="21">
        <f ca="1">SUM(J9,J13,J17,J21,J25,J29,J33,J37,J41,J45,J49,J53,J57,J63,J67,J71,J75,J79,J83,J87,J91,J95,J99,J103,J107,J111,J115,J119,J123,J127,J131,J135,J140,J144,J148,J152,J156,J160,J164,J168,J172,J176,J180,J185,J189,J193,J198,J202,J206,J210,J214,J218,J222,J226,J230)</f>
        <v>0</v>
      </c>
      <c r="K231" s="21">
        <v>0</v>
      </c>
      <c r="L231" s="21">
        <f ca="1">SUM(L9,L13,L17,L21,L25,L29,L33,L37,L41,L45,L49,L53,L57,L63,L67,L71,L75,L79,L83,L87,L91,L95,L99,L103,L107,L111,L115,L119,L123,L127,L131,L135,L140,L144,L148,L152,L156,L160,L164,L168,L172,L176,L180,L185,L189,L193,L198,L202,L206,L210,L214,L218,L222,L226,L230)</f>
        <v>0</v>
      </c>
      <c r="M231" s="19"/>
      <c r="N231" s="19"/>
      <c r="O231" s="19"/>
      <c r="P231" s="19"/>
      <c r="Q231" s="19"/>
      <c r="R231" s="19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